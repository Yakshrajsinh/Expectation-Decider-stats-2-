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kshrajsinh\Downloads\"/>
    </mc:Choice>
  </mc:AlternateContent>
  <xr:revisionPtr revIDLastSave="0" documentId="13_ncr:1_{ADB82774-8E76-4C73-82D0-8B214613F59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ntagency Table" sheetId="3" r:id="rId1"/>
    <sheet name="Student Data" sheetId="1" r:id="rId2"/>
    <sheet name="Ven Diagram" sheetId="4" r:id="rId3"/>
  </sheets>
  <definedNames>
    <definedName name="_xlnm._FilterDatabase" localSheetId="1" hidden="1">'Student Data'!$A$1:$F$201</definedName>
  </definedNames>
  <calcPr calcId="191029"/>
  <pivotCaches>
    <pivotCache cacheId="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G4" i="3"/>
  <c r="F4" i="3"/>
  <c r="H4" i="3"/>
  <c r="D11" i="4"/>
  <c r="F11" i="4"/>
  <c r="B10" i="4"/>
  <c r="K3" i="1"/>
  <c r="J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</calcChain>
</file>

<file path=xl/sharedStrings.xml><?xml version="1.0" encoding="utf-8"?>
<sst xmlns="http://schemas.openxmlformats.org/spreadsheetml/2006/main" count="633" uniqueCount="232">
  <si>
    <t>Student_ID</t>
  </si>
  <si>
    <t>study_hours</t>
  </si>
  <si>
    <t>attendance</t>
  </si>
  <si>
    <t>group_discussion</t>
  </si>
  <si>
    <t>previous_test_score</t>
  </si>
  <si>
    <t>final_exam_pass</t>
  </si>
  <si>
    <t>S001</t>
  </si>
  <si>
    <t>Yes</t>
  </si>
  <si>
    <t>Fail</t>
  </si>
  <si>
    <t>S002</t>
  </si>
  <si>
    <t>No</t>
  </si>
  <si>
    <t>Pass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</si>
  <si>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</si>
  <si>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</si>
  <si>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</si>
  <si>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</si>
  <si>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</si>
  <si>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</si>
  <si>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</si>
  <si>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</si>
  <si>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</si>
  <si>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</si>
  <si>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</si>
  <si>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</si>
  <si>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</si>
  <si>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</si>
  <si>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</si>
  <si>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</si>
  <si>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</si>
  <si>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</si>
  <si>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</si>
  <si>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</si>
  <si>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</si>
  <si>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</si>
  <si>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</si>
  <si>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</si>
  <si>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</si>
  <si>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</si>
  <si>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</si>
  <si>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</si>
  <si>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</si>
  <si>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</si>
  <si>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</si>
  <si>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</si>
  <si>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</si>
  <si>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</si>
  <si>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</si>
  <si>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</si>
  <si>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</si>
  <si>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</si>
  <si>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</si>
  <si>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</si>
  <si>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</si>
  <si>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</si>
  <si>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</si>
  <si>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</si>
  <si>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</si>
  <si>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</si>
  <si>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</si>
  <si>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</si>
  <si>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</si>
  <si>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</si>
  <si>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</si>
  <si>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</si>
  <si>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</si>
  <si>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</si>
  <si>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</si>
  <si>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</si>
  <si>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</si>
  <si>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</si>
  <si>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</si>
  <si>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</si>
  <si>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</si>
  <si>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</si>
  <si>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</si>
  <si>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</si>
  <si>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</si>
  <si>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</si>
  <si>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</si>
  <si>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</si>
  <si>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</si>
  <si>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</si>
  <si>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</si>
  <si>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</si>
  <si>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</si>
  <si>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</si>
  <si>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</si>
  <si>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</si>
  <si>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</si>
  <si>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</si>
  <si>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</si>
  <si>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</si>
  <si>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</si>
  <si>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</si>
  <si>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</si>
  <si>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</si>
  <si>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</si>
  <si>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</si>
  <si>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</si>
  <si>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</si>
  <si>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</si>
  <si>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</si>
  <si>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</si>
  <si>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</si>
  <si>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</si>
  <si>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</si>
  <si>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</si>
  <si>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</si>
  <si>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</si>
  <si>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</si>
  <si>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</si>
  <si>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</si>
  <si>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</si>
  <si>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</si>
  <si>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</si>
  <si>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</si>
  <si>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</si>
  <si>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</si>
  <si>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</si>
  <si>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</si>
  <si>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</si>
  <si>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</si>
  <si>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</si>
  <si>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</si>
  <si>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</si>
  <si>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</si>
  <si>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</si>
  <si>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</si>
  <si>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</si>
  <si>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</si>
  <si>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</si>
  <si>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</si>
  <si>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</si>
  <si>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</si>
  <si>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</si>
  <si>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</si>
  <si>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</si>
  <si>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</si>
  <si>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</si>
  <si>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</si>
  <si>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</si>
  <si>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</si>
  <si>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</si>
  <si>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</si>
  <si>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</si>
  <si>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</si>
  <si>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</si>
  <si>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</si>
  <si>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</si>
  <si>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</si>
  <si>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</si>
  <si>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</si>
  <si>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</si>
  <si>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</si>
  <si>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</si>
  <si>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</si>
  <si>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</si>
  <si>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</si>
  <si>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</si>
  <si>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</si>
  <si>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</si>
  <si>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</si>
  <si>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</si>
  <si>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</si>
  <si>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</si>
  <si>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</si>
  <si>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</si>
  <si>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</si>
  <si>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</si>
  <si>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</si>
  <si>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</si>
  <si>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</si>
  <si>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</si>
  <si>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</si>
  <si>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</si>
  <si>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</si>
  <si>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</si>
  <si>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</si>
  <si>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</si>
  <si>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</si>
  <si>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</si>
  <si>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</si>
  <si>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</si>
  <si>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</si>
  <si>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</si>
  <si>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</si>
  <si>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</si>
  <si>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</si>
  <si>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</si>
  <si>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</si>
  <si>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</si>
  <si>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</si>
  <si>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</si>
  <si>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</si>
  <si>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</si>
  <si>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</si>
  <si>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</si>
  <si>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</si>
  <si>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</si>
  <si>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</si>
  <si>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</si>
  <si>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</si>
  <si>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</si>
  <si>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</si>
  <si>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</si>
  <si>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</si>
  <si>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</si>
  <si>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</si>
  <si>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</si>
  <si>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</si>
  <si>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High Study</t>
  </si>
  <si>
    <t>High Attendence</t>
  </si>
  <si>
    <t>Total Students</t>
  </si>
  <si>
    <t>Total Pass</t>
  </si>
  <si>
    <t>Probability of pass</t>
  </si>
  <si>
    <t>Row Labels</t>
  </si>
  <si>
    <t>Grand Total</t>
  </si>
  <si>
    <t>Column Labels</t>
  </si>
  <si>
    <t>Count of Student_ID</t>
  </si>
  <si>
    <t>Conditional Probablity</t>
  </si>
  <si>
    <t>STUDY HOURS&gt;10</t>
  </si>
  <si>
    <t>Attendence&gt;80</t>
  </si>
  <si>
    <t>BOTH</t>
  </si>
  <si>
    <t>Joint Probablity</t>
  </si>
  <si>
    <t xml:space="preserve"> Students  in GD AND paassed/Number of students In GD</t>
  </si>
  <si>
    <t xml:space="preserve"> Students  in GD AND paassed/Total Students</t>
  </si>
  <si>
    <t>Maarginal Probaablity</t>
  </si>
  <si>
    <t>Students  Who passed/Total Students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</si>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</sst>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0"/>
      <color rgb="FF1E7B34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theme="8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0" xfId="0" applyFill="1"/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7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9" fontId="0" fillId="6" borderId="2" xfId="1" applyFont="1" applyFill="1" applyBorder="1" applyAlignment="1">
      <alignment horizontal="center"/>
    </xf>
    <xf numFmtId="9" fontId="0" fillId="7" borderId="2" xfId="1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9" fontId="0" fillId="0" borderId="0" xfId="0" applyNumberFormat="1"/>
    <xf numFmtId="0" fontId="11" fillId="8" borderId="3" xfId="0" applyFont="1" applyFill="1" applyBorder="1"/>
    <xf numFmtId="0" fontId="6" fillId="8" borderId="3" xfId="0" applyFont="1" applyFill="1" applyBorder="1" applyAlignment="1">
      <alignment horizontal="center"/>
    </xf>
    <xf numFmtId="9" fontId="6" fillId="8" borderId="3" xfId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2</xdr:row>
      <xdr:rowOff>45720</xdr:rowOff>
    </xdr:from>
    <xdr:to>
      <xdr:col>7</xdr:col>
      <xdr:colOff>342900</xdr:colOff>
      <xdr:row>18</xdr:row>
      <xdr:rowOff>7620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F80FC20-5394-428F-A23F-BCF0DFF77823}"/>
            </a:ext>
          </a:extLst>
        </xdr:cNvPr>
        <xdr:cNvSpPr/>
      </xdr:nvSpPr>
      <xdr:spPr>
        <a:xfrm>
          <a:off x="1722120" y="411480"/>
          <a:ext cx="2887980" cy="288798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426720</xdr:colOff>
      <xdr:row>2</xdr:row>
      <xdr:rowOff>38100</xdr:rowOff>
    </xdr:from>
    <xdr:to>
      <xdr:col>5</xdr:col>
      <xdr:colOff>266700</xdr:colOff>
      <xdr:row>18</xdr:row>
      <xdr:rowOff>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231FE861-8998-2358-3128-E62DA1AA3599}"/>
            </a:ext>
          </a:extLst>
        </xdr:cNvPr>
        <xdr:cNvSpPr/>
      </xdr:nvSpPr>
      <xdr:spPr>
        <a:xfrm>
          <a:off x="426720" y="403860"/>
          <a:ext cx="2887980" cy="288798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kshrajsinh" refreshedDate="46101.667597222222" createdVersion="8" refreshedVersion="8" minRefreshableVersion="3" recordCount="200" xr:uid="{3AD7C6C3-FF96-461A-8E83-108437D6E179}">
  <cacheSource type="worksheet">
    <worksheetSource ref="A1:H201" sheet="Student Data"/>
  </cacheSource>
  <cacheFields count="8">
    <cacheField name="Student_ID" numFmtId="0">
      <sharedItems/>
    </cacheField>
    <cacheField name="study_hours" numFmtId="0">
      <sharedItems containsSemiMixedTypes="0" containsString="0" containsNumber="1" minValue="1.1000000000000001" maxValue="19.8"/>
    </cacheField>
    <cacheField name="attendance" numFmtId="0">
      <sharedItems containsSemiMixedTypes="0" containsString="0" containsNumber="1" minValue="40.299999999999997" maxValue="99.4"/>
    </cacheField>
    <cacheField name="group_discussion" numFmtId="0">
      <sharedItems count="2">
        <s v="Yes"/>
        <s v="No"/>
      </sharedItems>
    </cacheField>
    <cacheField name="previous_test_score" numFmtId="0">
      <sharedItems containsSemiMixedTypes="0" containsString="0" containsNumber="1" minValue="21.4" maxValue="99.2"/>
    </cacheField>
    <cacheField name="final_exam_pass" numFmtId="0">
      <sharedItems count="2">
        <s v="Fail"/>
        <s v="Pass"/>
      </sharedItems>
    </cacheField>
    <cacheField name="High Study" numFmtId="0">
      <sharedItems/>
    </cacheField>
    <cacheField name="High Attend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S001"/>
    <n v="8.1"/>
    <n v="78.5"/>
    <x v="0"/>
    <n v="33.5"/>
    <x v="0"/>
    <s v="No"/>
    <s v="No"/>
  </r>
  <r>
    <s v="S002"/>
    <n v="19.100000000000001"/>
    <n v="45"/>
    <x v="1"/>
    <n v="42.3"/>
    <x v="1"/>
    <s v="Yes"/>
    <s v="No"/>
  </r>
  <r>
    <s v="S003"/>
    <n v="14.9"/>
    <n v="49.7"/>
    <x v="0"/>
    <n v="34.200000000000003"/>
    <x v="0"/>
    <s v="Yes"/>
    <s v="No"/>
  </r>
  <r>
    <s v="S004"/>
    <n v="12.4"/>
    <n v="93.9"/>
    <x v="1"/>
    <n v="27.1"/>
    <x v="0"/>
    <s v="Yes"/>
    <s v="Yes"/>
  </r>
  <r>
    <s v="S005"/>
    <n v="4"/>
    <n v="76.400000000000006"/>
    <x v="0"/>
    <n v="29.7"/>
    <x v="0"/>
    <s v="No"/>
    <s v="No"/>
  </r>
  <r>
    <s v="S006"/>
    <n v="4"/>
    <n v="40.6"/>
    <x v="1"/>
    <n v="56.9"/>
    <x v="0"/>
    <s v="No"/>
    <s v="No"/>
  </r>
  <r>
    <s v="S007"/>
    <n v="2.1"/>
    <n v="46.1"/>
    <x v="0"/>
    <n v="36.5"/>
    <x v="0"/>
    <s v="No"/>
    <s v="No"/>
  </r>
  <r>
    <s v="S008"/>
    <n v="17.5"/>
    <n v="79.8"/>
    <x v="0"/>
    <n v="49.1"/>
    <x v="0"/>
    <s v="Yes"/>
    <s v="No"/>
  </r>
  <r>
    <s v="S009"/>
    <n v="12.4"/>
    <n v="40.299999999999997"/>
    <x v="1"/>
    <n v="60.3"/>
    <x v="0"/>
    <s v="Yes"/>
    <s v="No"/>
  </r>
  <r>
    <s v="S010"/>
    <n v="14.5"/>
    <n v="49.6"/>
    <x v="0"/>
    <n v="75.2"/>
    <x v="1"/>
    <s v="Yes"/>
    <s v="No"/>
  </r>
  <r>
    <s v="S011"/>
    <n v="1.4"/>
    <n v="72.900000000000006"/>
    <x v="0"/>
    <n v="23.1"/>
    <x v="0"/>
    <s v="No"/>
    <s v="No"/>
  </r>
  <r>
    <s v="S012"/>
    <n v="19.399999999999999"/>
    <n v="81.5"/>
    <x v="1"/>
    <n v="84"/>
    <x v="0"/>
    <s v="Yes"/>
    <s v="Yes"/>
  </r>
  <r>
    <s v="S013"/>
    <n v="16.8"/>
    <n v="79.099999999999994"/>
    <x v="1"/>
    <n v="70.2"/>
    <x v="1"/>
    <s v="Yes"/>
    <s v="No"/>
  </r>
  <r>
    <s v="S014"/>
    <n v="5"/>
    <n v="53.5"/>
    <x v="1"/>
    <n v="26.5"/>
    <x v="0"/>
    <s v="No"/>
    <s v="No"/>
  </r>
  <r>
    <s v="S015"/>
    <n v="4.5"/>
    <n v="82.7"/>
    <x v="1"/>
    <n v="89.9"/>
    <x v="0"/>
    <s v="No"/>
    <s v="Yes"/>
  </r>
  <r>
    <s v="S016"/>
    <n v="4.5"/>
    <n v="54.2"/>
    <x v="0"/>
    <n v="93.7"/>
    <x v="1"/>
    <s v="No"/>
    <s v="No"/>
  </r>
  <r>
    <s v="S017"/>
    <n v="6.8"/>
    <n v="59.5"/>
    <x v="0"/>
    <n v="24.9"/>
    <x v="0"/>
    <s v="No"/>
    <s v="No"/>
  </r>
  <r>
    <s v="S018"/>
    <n v="11"/>
    <n v="84.8"/>
    <x v="0"/>
    <n v="42.2"/>
    <x v="1"/>
    <s v="Yes"/>
    <s v="Yes"/>
  </r>
  <r>
    <s v="S019"/>
    <n v="9.1999999999999993"/>
    <n v="79"/>
    <x v="1"/>
    <n v="84.5"/>
    <x v="1"/>
    <s v="No"/>
    <s v="No"/>
  </r>
  <r>
    <s v="S020"/>
    <n v="6.5"/>
    <n v="91"/>
    <x v="1"/>
    <n v="79.900000000000006"/>
    <x v="1"/>
    <s v="No"/>
    <s v="Yes"/>
  </r>
  <r>
    <s v="S021"/>
    <n v="12.6"/>
    <n v="79.5"/>
    <x v="1"/>
    <n v="34.799999999999997"/>
    <x v="0"/>
    <s v="Yes"/>
    <s v="No"/>
  </r>
  <r>
    <s v="S022"/>
    <n v="3.7"/>
    <n v="74.099999999999994"/>
    <x v="1"/>
    <n v="36.700000000000003"/>
    <x v="1"/>
    <s v="No"/>
    <s v="No"/>
  </r>
  <r>
    <s v="S023"/>
    <n v="6.6"/>
    <n v="45.6"/>
    <x v="0"/>
    <n v="49.6"/>
    <x v="1"/>
    <s v="No"/>
    <s v="No"/>
  </r>
  <r>
    <s v="S024"/>
    <n v="8"/>
    <n v="62.1"/>
    <x v="0"/>
    <n v="58.8"/>
    <x v="1"/>
    <s v="No"/>
    <s v="No"/>
  </r>
  <r>
    <s v="S025"/>
    <n v="9.6999999999999993"/>
    <n v="55.9"/>
    <x v="0"/>
    <n v="69.5"/>
    <x v="1"/>
    <s v="No"/>
    <s v="No"/>
  </r>
  <r>
    <s v="S026"/>
    <n v="15.9"/>
    <n v="54.6"/>
    <x v="0"/>
    <n v="49.5"/>
    <x v="0"/>
    <s v="Yes"/>
    <s v="No"/>
  </r>
  <r>
    <s v="S027"/>
    <n v="4.8"/>
    <n v="98.4"/>
    <x v="0"/>
    <n v="57"/>
    <x v="1"/>
    <s v="No"/>
    <s v="Yes"/>
  </r>
  <r>
    <s v="S028"/>
    <n v="10.8"/>
    <n v="63.6"/>
    <x v="1"/>
    <n v="79.8"/>
    <x v="1"/>
    <s v="Yes"/>
    <s v="No"/>
  </r>
  <r>
    <s v="S029"/>
    <n v="12.3"/>
    <n v="93.5"/>
    <x v="0"/>
    <n v="22.9"/>
    <x v="0"/>
    <s v="Yes"/>
    <s v="Yes"/>
  </r>
  <r>
    <s v="S030"/>
    <n v="1.9"/>
    <n v="77.900000000000006"/>
    <x v="0"/>
    <n v="40.200000000000003"/>
    <x v="0"/>
    <s v="No"/>
    <s v="No"/>
  </r>
  <r>
    <s v="S031"/>
    <n v="12.5"/>
    <n v="87.7"/>
    <x v="0"/>
    <n v="77.099999999999994"/>
    <x v="1"/>
    <s v="Yes"/>
    <s v="Yes"/>
  </r>
  <r>
    <s v="S032"/>
    <n v="4.2"/>
    <n v="70.2"/>
    <x v="1"/>
    <n v="91.6"/>
    <x v="1"/>
    <s v="No"/>
    <s v="No"/>
  </r>
  <r>
    <s v="S033"/>
    <n v="2.2000000000000002"/>
    <n v="74.599999999999994"/>
    <x v="1"/>
    <n v="60.9"/>
    <x v="1"/>
    <s v="No"/>
    <s v="No"/>
  </r>
  <r>
    <s v="S034"/>
    <n v="19"/>
    <n v="69.599999999999994"/>
    <x v="0"/>
    <n v="62.6"/>
    <x v="1"/>
    <s v="Yes"/>
    <s v="No"/>
  </r>
  <r>
    <s v="S035"/>
    <n v="19.3"/>
    <n v="51.7"/>
    <x v="0"/>
    <n v="28.6"/>
    <x v="0"/>
    <s v="Yes"/>
    <s v="No"/>
  </r>
  <r>
    <s v="S036"/>
    <n v="16.399999999999999"/>
    <n v="83.3"/>
    <x v="1"/>
    <n v="55.8"/>
    <x v="1"/>
    <s v="Yes"/>
    <s v="Yes"/>
  </r>
  <r>
    <s v="S037"/>
    <n v="6.8"/>
    <n v="56.8"/>
    <x v="0"/>
    <n v="62.6"/>
    <x v="0"/>
    <s v="No"/>
    <s v="No"/>
  </r>
  <r>
    <s v="S038"/>
    <n v="2.9"/>
    <n v="41.5"/>
    <x v="1"/>
    <n v="39.4"/>
    <x v="0"/>
    <s v="No"/>
    <s v="No"/>
  </r>
  <r>
    <s v="S039"/>
    <n v="14"/>
    <n v="78.7"/>
    <x v="1"/>
    <n v="41.5"/>
    <x v="0"/>
    <s v="Yes"/>
    <s v="No"/>
  </r>
  <r>
    <s v="S040"/>
    <n v="9.4"/>
    <n v="50.6"/>
    <x v="0"/>
    <n v="50.2"/>
    <x v="0"/>
    <s v="No"/>
    <s v="No"/>
  </r>
  <r>
    <s v="S041"/>
    <n v="3.3"/>
    <n v="96.4"/>
    <x v="0"/>
    <n v="21.6"/>
    <x v="1"/>
    <s v="No"/>
    <s v="Yes"/>
  </r>
  <r>
    <s v="S042"/>
    <n v="10.4"/>
    <n v="97.2"/>
    <x v="1"/>
    <n v="45.8"/>
    <x v="0"/>
    <s v="Yes"/>
    <s v="Yes"/>
  </r>
  <r>
    <s v="S043"/>
    <n v="1.7"/>
    <n v="94.9"/>
    <x v="0"/>
    <n v="36.9"/>
    <x v="1"/>
    <s v="No"/>
    <s v="Yes"/>
  </r>
  <r>
    <s v="S044"/>
    <n v="18.3"/>
    <n v="62.2"/>
    <x v="0"/>
    <n v="46.2"/>
    <x v="0"/>
    <s v="Yes"/>
    <s v="No"/>
  </r>
  <r>
    <s v="S045"/>
    <n v="5.9"/>
    <n v="40.9"/>
    <x v="1"/>
    <n v="29.6"/>
    <x v="0"/>
    <s v="No"/>
    <s v="No"/>
  </r>
  <r>
    <s v="S046"/>
    <n v="13.6"/>
    <n v="95.7"/>
    <x v="1"/>
    <n v="91.2"/>
    <x v="1"/>
    <s v="Yes"/>
    <s v="Yes"/>
  </r>
  <r>
    <s v="S047"/>
    <n v="6.9"/>
    <n v="65.7"/>
    <x v="1"/>
    <n v="67.5"/>
    <x v="1"/>
    <s v="No"/>
    <s v="No"/>
  </r>
  <r>
    <s v="S048"/>
    <n v="10.9"/>
    <n v="98"/>
    <x v="1"/>
    <n v="74.3"/>
    <x v="0"/>
    <s v="Yes"/>
    <s v="Yes"/>
  </r>
  <r>
    <s v="S049"/>
    <n v="11.4"/>
    <n v="97.8"/>
    <x v="0"/>
    <n v="83.1"/>
    <x v="1"/>
    <s v="Yes"/>
    <s v="Yes"/>
  </r>
  <r>
    <s v="S050"/>
    <n v="4.5"/>
    <n v="91.2"/>
    <x v="0"/>
    <n v="59.9"/>
    <x v="1"/>
    <s v="No"/>
    <s v="Yes"/>
  </r>
  <r>
    <s v="S051"/>
    <n v="19.399999999999999"/>
    <n v="57.7"/>
    <x v="1"/>
    <n v="27"/>
    <x v="1"/>
    <s v="Yes"/>
    <s v="No"/>
  </r>
  <r>
    <s v="S052"/>
    <n v="15.7"/>
    <n v="63.1"/>
    <x v="1"/>
    <n v="63"/>
    <x v="0"/>
    <s v="Yes"/>
    <s v="No"/>
  </r>
  <r>
    <s v="S053"/>
    <n v="18.899999999999999"/>
    <n v="91.1"/>
    <x v="0"/>
    <n v="66.900000000000006"/>
    <x v="1"/>
    <s v="Yes"/>
    <s v="Yes"/>
  </r>
  <r>
    <s v="S054"/>
    <n v="18"/>
    <n v="59"/>
    <x v="1"/>
    <n v="79.599999999999994"/>
    <x v="0"/>
    <s v="Yes"/>
    <s v="No"/>
  </r>
  <r>
    <s v="S055"/>
    <n v="12.4"/>
    <n v="50.2"/>
    <x v="0"/>
    <n v="54.5"/>
    <x v="1"/>
    <s v="Yes"/>
    <s v="No"/>
  </r>
  <r>
    <s v="S056"/>
    <n v="18.5"/>
    <n v="73.400000000000006"/>
    <x v="0"/>
    <n v="30.2"/>
    <x v="1"/>
    <s v="Yes"/>
    <s v="No"/>
  </r>
  <r>
    <s v="S057"/>
    <n v="2.7"/>
    <n v="96.2"/>
    <x v="0"/>
    <n v="42.7"/>
    <x v="1"/>
    <s v="No"/>
    <s v="Yes"/>
  </r>
  <r>
    <s v="S058"/>
    <n v="4.7"/>
    <n v="81.8"/>
    <x v="0"/>
    <n v="49"/>
    <x v="1"/>
    <s v="No"/>
    <s v="Yes"/>
  </r>
  <r>
    <s v="S059"/>
    <n v="1.9"/>
    <n v="74.2"/>
    <x v="0"/>
    <n v="71.7"/>
    <x v="1"/>
    <s v="No"/>
    <s v="No"/>
  </r>
  <r>
    <s v="S060"/>
    <n v="7.2"/>
    <n v="45.8"/>
    <x v="0"/>
    <n v="65.7"/>
    <x v="1"/>
    <s v="No"/>
    <s v="No"/>
  </r>
  <r>
    <s v="S061"/>
    <n v="8.4"/>
    <n v="76.900000000000006"/>
    <x v="0"/>
    <n v="48.5"/>
    <x v="0"/>
    <s v="No"/>
    <s v="No"/>
  </r>
  <r>
    <s v="S062"/>
    <n v="6.2"/>
    <n v="99.4"/>
    <x v="1"/>
    <n v="98.9"/>
    <x v="1"/>
    <s v="No"/>
    <s v="Yes"/>
  </r>
  <r>
    <s v="S063"/>
    <n v="16.7"/>
    <n v="48.4"/>
    <x v="1"/>
    <n v="68.5"/>
    <x v="0"/>
    <s v="Yes"/>
    <s v="No"/>
  </r>
  <r>
    <s v="S064"/>
    <n v="7.8"/>
    <n v="71.099999999999994"/>
    <x v="1"/>
    <n v="39"/>
    <x v="0"/>
    <s v="No"/>
    <s v="No"/>
  </r>
  <r>
    <s v="S065"/>
    <n v="6.3"/>
    <n v="92.6"/>
    <x v="1"/>
    <n v="28.1"/>
    <x v="0"/>
    <s v="No"/>
    <s v="Yes"/>
  </r>
  <r>
    <s v="S066"/>
    <n v="11.3"/>
    <n v="84.4"/>
    <x v="0"/>
    <n v="32.200000000000003"/>
    <x v="0"/>
    <s v="Yes"/>
    <s v="Yes"/>
  </r>
  <r>
    <s v="S067"/>
    <n v="3.7"/>
    <n v="81.8"/>
    <x v="0"/>
    <n v="39.700000000000003"/>
    <x v="1"/>
    <s v="No"/>
    <s v="Yes"/>
  </r>
  <r>
    <s v="S068"/>
    <n v="16.2"/>
    <n v="82.1"/>
    <x v="1"/>
    <n v="32.9"/>
    <x v="1"/>
    <s v="Yes"/>
    <s v="Yes"/>
  </r>
  <r>
    <s v="S069"/>
    <n v="2.4"/>
    <n v="61.6"/>
    <x v="0"/>
    <n v="34.9"/>
    <x v="0"/>
    <s v="No"/>
    <s v="No"/>
  </r>
  <r>
    <s v="S070"/>
    <n v="19.8"/>
    <n v="57.6"/>
    <x v="1"/>
    <n v="42.8"/>
    <x v="0"/>
    <s v="Yes"/>
    <s v="No"/>
  </r>
  <r>
    <s v="S071"/>
    <n v="15.7"/>
    <n v="88.6"/>
    <x v="0"/>
    <n v="33.9"/>
    <x v="1"/>
    <s v="Yes"/>
    <s v="Yes"/>
  </r>
  <r>
    <s v="S072"/>
    <n v="4.8"/>
    <n v="88.6"/>
    <x v="1"/>
    <n v="91.7"/>
    <x v="1"/>
    <s v="No"/>
    <s v="Yes"/>
  </r>
  <r>
    <s v="S073"/>
    <n v="1.1000000000000001"/>
    <n v="92"/>
    <x v="0"/>
    <n v="26.4"/>
    <x v="0"/>
    <s v="No"/>
    <s v="Yes"/>
  </r>
  <r>
    <s v="S074"/>
    <n v="16.5"/>
    <n v="94.8"/>
    <x v="1"/>
    <n v="62"/>
    <x v="1"/>
    <s v="Yes"/>
    <s v="Yes"/>
  </r>
  <r>
    <s v="S075"/>
    <n v="14.4"/>
    <n v="70.7"/>
    <x v="0"/>
    <n v="52.8"/>
    <x v="1"/>
    <s v="Yes"/>
    <s v="No"/>
  </r>
  <r>
    <s v="S076"/>
    <n v="14.9"/>
    <n v="70.099999999999994"/>
    <x v="1"/>
    <n v="98.6"/>
    <x v="1"/>
    <s v="Yes"/>
    <s v="No"/>
  </r>
  <r>
    <s v="S077"/>
    <n v="15.7"/>
    <n v="87.9"/>
    <x v="0"/>
    <n v="29"/>
    <x v="0"/>
    <s v="Yes"/>
    <s v="Yes"/>
  </r>
  <r>
    <s v="S078"/>
    <n v="2.4"/>
    <n v="79"/>
    <x v="1"/>
    <n v="51.8"/>
    <x v="0"/>
    <s v="No"/>
    <s v="No"/>
  </r>
  <r>
    <s v="S079"/>
    <n v="7.8"/>
    <n v="82.1"/>
    <x v="1"/>
    <n v="97.6"/>
    <x v="1"/>
    <s v="No"/>
    <s v="Yes"/>
  </r>
  <r>
    <s v="S080"/>
    <n v="3.2"/>
    <n v="87.7"/>
    <x v="0"/>
    <n v="89.2"/>
    <x v="1"/>
    <s v="No"/>
    <s v="Yes"/>
  </r>
  <r>
    <s v="S081"/>
    <n v="17.399999999999999"/>
    <n v="93.4"/>
    <x v="1"/>
    <n v="85.4"/>
    <x v="1"/>
    <s v="Yes"/>
    <s v="Yes"/>
  </r>
  <r>
    <s v="S082"/>
    <n v="12.8"/>
    <n v="60.3"/>
    <x v="1"/>
    <n v="40.6"/>
    <x v="0"/>
    <s v="Yes"/>
    <s v="No"/>
  </r>
  <r>
    <s v="S083"/>
    <n v="7.3"/>
    <n v="62.5"/>
    <x v="0"/>
    <n v="33.700000000000003"/>
    <x v="1"/>
    <s v="No"/>
    <s v="No"/>
  </r>
  <r>
    <s v="S084"/>
    <n v="2.2000000000000002"/>
    <n v="45.6"/>
    <x v="1"/>
    <n v="73.5"/>
    <x v="1"/>
    <s v="No"/>
    <s v="No"/>
  </r>
  <r>
    <s v="S085"/>
    <n v="6.9"/>
    <n v="74.7"/>
    <x v="1"/>
    <n v="94.4"/>
    <x v="0"/>
    <s v="No"/>
    <s v="No"/>
  </r>
  <r>
    <s v="S086"/>
    <n v="7.2"/>
    <n v="42.2"/>
    <x v="1"/>
    <n v="64.5"/>
    <x v="1"/>
    <s v="No"/>
    <s v="No"/>
  </r>
  <r>
    <s v="S087"/>
    <n v="14.9"/>
    <n v="67.900000000000006"/>
    <x v="0"/>
    <n v="65.7"/>
    <x v="1"/>
    <s v="Yes"/>
    <s v="No"/>
  </r>
  <r>
    <s v="S088"/>
    <n v="13.1"/>
    <n v="72.599999999999994"/>
    <x v="0"/>
    <n v="42.4"/>
    <x v="1"/>
    <s v="Yes"/>
    <s v="No"/>
  </r>
  <r>
    <s v="S089"/>
    <n v="17.899999999999999"/>
    <n v="57.2"/>
    <x v="1"/>
    <n v="81.599999999999994"/>
    <x v="1"/>
    <s v="Yes"/>
    <s v="No"/>
  </r>
  <r>
    <s v="S090"/>
    <n v="10"/>
    <n v="75.400000000000006"/>
    <x v="1"/>
    <n v="35"/>
    <x v="0"/>
    <s v="No"/>
    <s v="No"/>
  </r>
  <r>
    <s v="S091"/>
    <n v="3.3"/>
    <n v="41.8"/>
    <x v="0"/>
    <n v="45.9"/>
    <x v="0"/>
    <s v="No"/>
    <s v="No"/>
  </r>
  <r>
    <s v="S092"/>
    <n v="14.6"/>
    <n v="42.2"/>
    <x v="1"/>
    <n v="54"/>
    <x v="0"/>
    <s v="Yes"/>
    <s v="No"/>
  </r>
  <r>
    <s v="S093"/>
    <n v="15.5"/>
    <n v="89.4"/>
    <x v="0"/>
    <n v="60.6"/>
    <x v="0"/>
    <s v="Yes"/>
    <s v="Yes"/>
  </r>
  <r>
    <s v="S094"/>
    <n v="11.7"/>
    <n v="61.6"/>
    <x v="0"/>
    <n v="39.4"/>
    <x v="1"/>
    <s v="Yes"/>
    <s v="No"/>
  </r>
  <r>
    <s v="S095"/>
    <n v="15.6"/>
    <n v="47.6"/>
    <x v="0"/>
    <n v="29.2"/>
    <x v="0"/>
    <s v="Yes"/>
    <s v="No"/>
  </r>
  <r>
    <s v="S096"/>
    <n v="10.4"/>
    <n v="71.3"/>
    <x v="0"/>
    <n v="68.8"/>
    <x v="1"/>
    <s v="Yes"/>
    <s v="No"/>
  </r>
  <r>
    <s v="S097"/>
    <n v="10.9"/>
    <n v="86.2"/>
    <x v="1"/>
    <n v="43.1"/>
    <x v="1"/>
    <s v="Yes"/>
    <s v="Yes"/>
  </r>
  <r>
    <s v="S098"/>
    <n v="9.1"/>
    <n v="52.9"/>
    <x v="0"/>
    <n v="66.5"/>
    <x v="0"/>
    <s v="No"/>
    <s v="No"/>
  </r>
  <r>
    <s v="S099"/>
    <n v="1.5"/>
    <n v="77.400000000000006"/>
    <x v="1"/>
    <n v="32.299999999999997"/>
    <x v="1"/>
    <s v="No"/>
    <s v="No"/>
  </r>
  <r>
    <s v="S100"/>
    <n v="3"/>
    <n v="45.1"/>
    <x v="1"/>
    <n v="58.5"/>
    <x v="1"/>
    <s v="No"/>
    <s v="No"/>
  </r>
  <r>
    <s v="S101"/>
    <n v="1.6"/>
    <n v="43.1"/>
    <x v="1"/>
    <n v="62.6"/>
    <x v="0"/>
    <s v="No"/>
    <s v="No"/>
  </r>
  <r>
    <s v="S102"/>
    <n v="13.1"/>
    <n v="71.900000000000006"/>
    <x v="0"/>
    <n v="24.1"/>
    <x v="1"/>
    <s v="Yes"/>
    <s v="No"/>
  </r>
  <r>
    <s v="S103"/>
    <n v="7"/>
    <n v="72.400000000000006"/>
    <x v="0"/>
    <n v="46.9"/>
    <x v="1"/>
    <s v="No"/>
    <s v="No"/>
  </r>
  <r>
    <s v="S104"/>
    <n v="10.7"/>
    <n v="78.2"/>
    <x v="1"/>
    <n v="30.8"/>
    <x v="0"/>
    <s v="Yes"/>
    <s v="No"/>
  </r>
  <r>
    <s v="S105"/>
    <n v="18.2"/>
    <n v="83.6"/>
    <x v="1"/>
    <n v="25.1"/>
    <x v="0"/>
    <s v="Yes"/>
    <s v="Yes"/>
  </r>
  <r>
    <s v="S106"/>
    <n v="5.7"/>
    <n v="98.6"/>
    <x v="0"/>
    <n v="99.2"/>
    <x v="1"/>
    <s v="No"/>
    <s v="Yes"/>
  </r>
  <r>
    <s v="S107"/>
    <n v="8.8000000000000007"/>
    <n v="71"/>
    <x v="1"/>
    <n v="45.8"/>
    <x v="0"/>
    <s v="No"/>
    <s v="No"/>
  </r>
  <r>
    <s v="S108"/>
    <n v="15.4"/>
    <n v="59.4"/>
    <x v="1"/>
    <n v="84.8"/>
    <x v="1"/>
    <s v="Yes"/>
    <s v="No"/>
  </r>
  <r>
    <s v="S109"/>
    <n v="5.3"/>
    <n v="87.7"/>
    <x v="1"/>
    <n v="40.4"/>
    <x v="1"/>
    <s v="No"/>
    <s v="Yes"/>
  </r>
  <r>
    <s v="S110"/>
    <n v="2.5"/>
    <n v="56.2"/>
    <x v="1"/>
    <n v="74.5"/>
    <x v="0"/>
    <s v="No"/>
    <s v="No"/>
  </r>
  <r>
    <s v="S111"/>
    <n v="6.5"/>
    <n v="66.3"/>
    <x v="1"/>
    <n v="80.8"/>
    <x v="0"/>
    <s v="No"/>
    <s v="No"/>
  </r>
  <r>
    <s v="S112"/>
    <n v="4.0999999999999996"/>
    <n v="44.7"/>
    <x v="0"/>
    <n v="67.7"/>
    <x v="1"/>
    <s v="No"/>
    <s v="No"/>
  </r>
  <r>
    <s v="S113"/>
    <n v="18.7"/>
    <n v="41.5"/>
    <x v="1"/>
    <n v="57.7"/>
    <x v="0"/>
    <s v="Yes"/>
    <s v="No"/>
  </r>
  <r>
    <s v="S114"/>
    <n v="16.399999999999999"/>
    <n v="97.8"/>
    <x v="1"/>
    <n v="52.9"/>
    <x v="1"/>
    <s v="Yes"/>
    <s v="Yes"/>
  </r>
  <r>
    <s v="S115"/>
    <n v="13"/>
    <n v="90.2"/>
    <x v="0"/>
    <n v="47.9"/>
    <x v="1"/>
    <s v="Yes"/>
    <s v="Yes"/>
  </r>
  <r>
    <s v="S116"/>
    <n v="17.600000000000001"/>
    <n v="81.8"/>
    <x v="0"/>
    <n v="94.4"/>
    <x v="1"/>
    <s v="Yes"/>
    <s v="Yes"/>
  </r>
  <r>
    <s v="S117"/>
    <n v="16.3"/>
    <n v="64.5"/>
    <x v="0"/>
    <n v="86.4"/>
    <x v="1"/>
    <s v="Yes"/>
    <s v="No"/>
  </r>
  <r>
    <s v="S118"/>
    <n v="4.5"/>
    <n v="50.4"/>
    <x v="1"/>
    <n v="97.2"/>
    <x v="0"/>
    <s v="No"/>
    <s v="No"/>
  </r>
  <r>
    <s v="S119"/>
    <n v="18"/>
    <n v="49.4"/>
    <x v="1"/>
    <n v="29.9"/>
    <x v="0"/>
    <s v="Yes"/>
    <s v="No"/>
  </r>
  <r>
    <s v="S120"/>
    <n v="11.2"/>
    <n v="55"/>
    <x v="0"/>
    <n v="78.5"/>
    <x v="1"/>
    <s v="Yes"/>
    <s v="No"/>
  </r>
  <r>
    <s v="S121"/>
    <n v="16.3"/>
    <n v="73"/>
    <x v="1"/>
    <n v="95.1"/>
    <x v="0"/>
    <s v="Yes"/>
    <s v="No"/>
  </r>
  <r>
    <s v="S122"/>
    <n v="18"/>
    <n v="82.9"/>
    <x v="0"/>
    <n v="34.5"/>
    <x v="1"/>
    <s v="Yes"/>
    <s v="Yes"/>
  </r>
  <r>
    <s v="S123"/>
    <n v="7"/>
    <n v="79.599999999999994"/>
    <x v="1"/>
    <n v="25.3"/>
    <x v="0"/>
    <s v="No"/>
    <s v="No"/>
  </r>
  <r>
    <s v="S124"/>
    <n v="3.1"/>
    <n v="56.8"/>
    <x v="1"/>
    <n v="79.3"/>
    <x v="0"/>
    <s v="No"/>
    <s v="No"/>
  </r>
  <r>
    <s v="S125"/>
    <n v="5.3"/>
    <n v="97.3"/>
    <x v="1"/>
    <n v="66"/>
    <x v="1"/>
    <s v="No"/>
    <s v="Yes"/>
  </r>
  <r>
    <s v="S126"/>
    <n v="9.1"/>
    <n v="84.3"/>
    <x v="0"/>
    <n v="87.3"/>
    <x v="1"/>
    <s v="No"/>
    <s v="Yes"/>
  </r>
  <r>
    <s v="S127"/>
    <n v="16.5"/>
    <n v="73.3"/>
    <x v="0"/>
    <n v="31.2"/>
    <x v="1"/>
    <s v="Yes"/>
    <s v="No"/>
  </r>
  <r>
    <s v="S128"/>
    <n v="17.399999999999999"/>
    <n v="76.7"/>
    <x v="0"/>
    <n v="83.6"/>
    <x v="1"/>
    <s v="Yes"/>
    <s v="No"/>
  </r>
  <r>
    <s v="S129"/>
    <n v="1.1000000000000001"/>
    <n v="65.2"/>
    <x v="0"/>
    <n v="36.1"/>
    <x v="0"/>
    <s v="No"/>
    <s v="No"/>
  </r>
  <r>
    <s v="S130"/>
    <n v="10.7"/>
    <n v="54.9"/>
    <x v="1"/>
    <n v="33.1"/>
    <x v="0"/>
    <s v="Yes"/>
    <s v="No"/>
  </r>
  <r>
    <s v="S131"/>
    <n v="8.9"/>
    <n v="61.4"/>
    <x v="1"/>
    <n v="33.1"/>
    <x v="1"/>
    <s v="No"/>
    <s v="No"/>
  </r>
  <r>
    <s v="S132"/>
    <n v="5.2"/>
    <n v="85.5"/>
    <x v="1"/>
    <n v="85.2"/>
    <x v="0"/>
    <s v="No"/>
    <s v="Yes"/>
  </r>
  <r>
    <s v="S133"/>
    <n v="3.3"/>
    <n v="40.9"/>
    <x v="1"/>
    <n v="73.2"/>
    <x v="0"/>
    <s v="No"/>
    <s v="No"/>
  </r>
  <r>
    <s v="S134"/>
    <n v="7.4"/>
    <n v="47"/>
    <x v="1"/>
    <n v="61.8"/>
    <x v="0"/>
    <s v="No"/>
    <s v="No"/>
  </r>
  <r>
    <s v="S135"/>
    <n v="18.899999999999999"/>
    <n v="42.8"/>
    <x v="1"/>
    <n v="48.7"/>
    <x v="1"/>
    <s v="Yes"/>
    <s v="No"/>
  </r>
  <r>
    <s v="S136"/>
    <n v="7.1"/>
    <n v="42.4"/>
    <x v="1"/>
    <n v="90.2"/>
    <x v="1"/>
    <s v="No"/>
    <s v="No"/>
  </r>
  <r>
    <s v="S137"/>
    <n v="10.9"/>
    <n v="91.3"/>
    <x v="1"/>
    <n v="51.4"/>
    <x v="1"/>
    <s v="Yes"/>
    <s v="Yes"/>
  </r>
  <r>
    <s v="S138"/>
    <n v="14.4"/>
    <n v="82.2"/>
    <x v="0"/>
    <n v="85.3"/>
    <x v="0"/>
    <s v="Yes"/>
    <s v="Yes"/>
  </r>
  <r>
    <s v="S139"/>
    <n v="7.9"/>
    <n v="68.5"/>
    <x v="0"/>
    <n v="55.1"/>
    <x v="1"/>
    <s v="No"/>
    <s v="No"/>
  </r>
  <r>
    <s v="S140"/>
    <n v="19.5"/>
    <n v="45.9"/>
    <x v="0"/>
    <n v="50.2"/>
    <x v="0"/>
    <s v="Yes"/>
    <s v="No"/>
  </r>
  <r>
    <s v="S141"/>
    <n v="19.3"/>
    <n v="69.5"/>
    <x v="1"/>
    <n v="57"/>
    <x v="1"/>
    <s v="Yes"/>
    <s v="No"/>
  </r>
  <r>
    <s v="S142"/>
    <n v="5.8"/>
    <n v="68.400000000000006"/>
    <x v="1"/>
    <n v="44.1"/>
    <x v="0"/>
    <s v="No"/>
    <s v="No"/>
  </r>
  <r>
    <s v="S143"/>
    <n v="10.4"/>
    <n v="50.4"/>
    <x v="0"/>
    <n v="79.8"/>
    <x v="1"/>
    <s v="Yes"/>
    <s v="No"/>
  </r>
  <r>
    <s v="S144"/>
    <n v="6.7"/>
    <n v="66"/>
    <x v="1"/>
    <n v="60.2"/>
    <x v="0"/>
    <s v="No"/>
    <s v="No"/>
  </r>
  <r>
    <s v="S145"/>
    <n v="6.4"/>
    <n v="63.9"/>
    <x v="1"/>
    <n v="38.6"/>
    <x v="0"/>
    <s v="No"/>
    <s v="No"/>
  </r>
  <r>
    <s v="S146"/>
    <n v="1.7"/>
    <n v="77"/>
    <x v="0"/>
    <n v="92"/>
    <x v="1"/>
    <s v="No"/>
    <s v="No"/>
  </r>
  <r>
    <s v="S147"/>
    <n v="12.6"/>
    <n v="78.099999999999994"/>
    <x v="0"/>
    <n v="50.7"/>
    <x v="1"/>
    <s v="Yes"/>
    <s v="No"/>
  </r>
  <r>
    <s v="S148"/>
    <n v="10.6"/>
    <n v="42.7"/>
    <x v="1"/>
    <n v="63.5"/>
    <x v="0"/>
    <s v="Yes"/>
    <s v="No"/>
  </r>
  <r>
    <s v="S149"/>
    <n v="2"/>
    <n v="62.5"/>
    <x v="0"/>
    <n v="92.5"/>
    <x v="0"/>
    <s v="No"/>
    <s v="No"/>
  </r>
  <r>
    <s v="S150"/>
    <n v="6.3"/>
    <n v="77.599999999999994"/>
    <x v="1"/>
    <n v="69.900000000000006"/>
    <x v="0"/>
    <s v="No"/>
    <s v="No"/>
  </r>
  <r>
    <s v="S151"/>
    <n v="18.3"/>
    <n v="70.2"/>
    <x v="0"/>
    <n v="29.4"/>
    <x v="0"/>
    <s v="Yes"/>
    <s v="No"/>
  </r>
  <r>
    <s v="S152"/>
    <n v="5.6"/>
    <n v="91.4"/>
    <x v="1"/>
    <n v="95.2"/>
    <x v="1"/>
    <s v="No"/>
    <s v="Yes"/>
  </r>
  <r>
    <s v="S153"/>
    <n v="3.8"/>
    <n v="79.5"/>
    <x v="1"/>
    <n v="70.2"/>
    <x v="1"/>
    <s v="No"/>
    <s v="No"/>
  </r>
  <r>
    <s v="S154"/>
    <n v="10.3"/>
    <n v="49.8"/>
    <x v="1"/>
    <n v="46.8"/>
    <x v="0"/>
    <s v="Yes"/>
    <s v="No"/>
  </r>
  <r>
    <s v="S155"/>
    <n v="19.7"/>
    <n v="44.2"/>
    <x v="1"/>
    <n v="31.1"/>
    <x v="0"/>
    <s v="Yes"/>
    <s v="No"/>
  </r>
  <r>
    <s v="S156"/>
    <n v="5.6"/>
    <n v="78.5"/>
    <x v="0"/>
    <n v="83.5"/>
    <x v="1"/>
    <s v="No"/>
    <s v="No"/>
  </r>
  <r>
    <s v="S157"/>
    <n v="13.8"/>
    <n v="41.6"/>
    <x v="0"/>
    <n v="69.599999999999994"/>
    <x v="1"/>
    <s v="Yes"/>
    <s v="No"/>
  </r>
  <r>
    <s v="S158"/>
    <n v="15.5"/>
    <n v="75.099999999999994"/>
    <x v="0"/>
    <n v="62.7"/>
    <x v="1"/>
    <s v="Yes"/>
    <s v="No"/>
  </r>
  <r>
    <s v="S159"/>
    <n v="5.5"/>
    <n v="96.4"/>
    <x v="1"/>
    <n v="91.5"/>
    <x v="1"/>
    <s v="No"/>
    <s v="Yes"/>
  </r>
  <r>
    <s v="S160"/>
    <n v="14.8"/>
    <n v="74.5"/>
    <x v="1"/>
    <n v="83.1"/>
    <x v="0"/>
    <s v="Yes"/>
    <s v="No"/>
  </r>
  <r>
    <s v="S161"/>
    <n v="8"/>
    <n v="63.3"/>
    <x v="1"/>
    <n v="32.1"/>
    <x v="1"/>
    <s v="No"/>
    <s v="No"/>
  </r>
  <r>
    <s v="S162"/>
    <n v="13"/>
    <n v="78.599999999999994"/>
    <x v="0"/>
    <n v="44.9"/>
    <x v="0"/>
    <s v="Yes"/>
    <s v="No"/>
  </r>
  <r>
    <s v="S163"/>
    <n v="13"/>
    <n v="67.5"/>
    <x v="0"/>
    <n v="39.9"/>
    <x v="1"/>
    <s v="Yes"/>
    <s v="No"/>
  </r>
  <r>
    <s v="S164"/>
    <n v="11.2"/>
    <n v="72.7"/>
    <x v="0"/>
    <n v="79.5"/>
    <x v="1"/>
    <s v="Yes"/>
    <s v="No"/>
  </r>
  <r>
    <s v="S165"/>
    <n v="2.7"/>
    <n v="96.5"/>
    <x v="0"/>
    <n v="22.7"/>
    <x v="1"/>
    <s v="No"/>
    <s v="Yes"/>
  </r>
  <r>
    <s v="S166"/>
    <n v="16.899999999999999"/>
    <n v="63.2"/>
    <x v="1"/>
    <n v="65.599999999999994"/>
    <x v="1"/>
    <s v="Yes"/>
    <s v="No"/>
  </r>
  <r>
    <s v="S167"/>
    <n v="7.1"/>
    <n v="97.7"/>
    <x v="0"/>
    <n v="81"/>
    <x v="1"/>
    <s v="No"/>
    <s v="Yes"/>
  </r>
  <r>
    <s v="S168"/>
    <n v="4.5"/>
    <n v="94.3"/>
    <x v="0"/>
    <n v="90.1"/>
    <x v="1"/>
    <s v="No"/>
    <s v="Yes"/>
  </r>
  <r>
    <s v="S169"/>
    <n v="1.8"/>
    <n v="51.7"/>
    <x v="1"/>
    <n v="47.4"/>
    <x v="0"/>
    <s v="No"/>
    <s v="No"/>
  </r>
  <r>
    <s v="S170"/>
    <n v="12.2"/>
    <n v="44.2"/>
    <x v="0"/>
    <n v="85.7"/>
    <x v="1"/>
    <s v="Yes"/>
    <s v="No"/>
  </r>
  <r>
    <s v="S171"/>
    <n v="13.9"/>
    <n v="46"/>
    <x v="0"/>
    <n v="28.9"/>
    <x v="0"/>
    <s v="Yes"/>
    <s v="No"/>
  </r>
  <r>
    <s v="S172"/>
    <n v="1.3"/>
    <n v="41.1"/>
    <x v="1"/>
    <n v="87.7"/>
    <x v="0"/>
    <s v="No"/>
    <s v="No"/>
  </r>
  <r>
    <s v="S173"/>
    <n v="10.7"/>
    <n v="45.7"/>
    <x v="0"/>
    <n v="30.2"/>
    <x v="0"/>
    <s v="Yes"/>
    <s v="No"/>
  </r>
  <r>
    <s v="S174"/>
    <n v="5.3"/>
    <n v="81"/>
    <x v="1"/>
    <n v="51.8"/>
    <x v="1"/>
    <s v="No"/>
    <s v="Yes"/>
  </r>
  <r>
    <s v="S175"/>
    <n v="13.3"/>
    <n v="44.3"/>
    <x v="1"/>
    <n v="83.8"/>
    <x v="1"/>
    <s v="Yes"/>
    <s v="No"/>
  </r>
  <r>
    <s v="S176"/>
    <n v="4.3"/>
    <n v="59.1"/>
    <x v="1"/>
    <n v="32"/>
    <x v="0"/>
    <s v="No"/>
    <s v="No"/>
  </r>
  <r>
    <s v="S177"/>
    <n v="14.1"/>
    <n v="90.7"/>
    <x v="0"/>
    <n v="38.299999999999997"/>
    <x v="1"/>
    <s v="Yes"/>
    <s v="Yes"/>
  </r>
  <r>
    <s v="S178"/>
    <n v="8.3000000000000007"/>
    <n v="41.4"/>
    <x v="1"/>
    <n v="77.8"/>
    <x v="1"/>
    <s v="No"/>
    <s v="No"/>
  </r>
  <r>
    <s v="S179"/>
    <n v="18.8"/>
    <n v="88.9"/>
    <x v="0"/>
    <n v="77.599999999999994"/>
    <x v="1"/>
    <s v="Yes"/>
    <s v="Yes"/>
  </r>
  <r>
    <s v="S180"/>
    <n v="3.6"/>
    <n v="56.9"/>
    <x v="0"/>
    <n v="71.3"/>
    <x v="0"/>
    <s v="No"/>
    <s v="No"/>
  </r>
  <r>
    <s v="S181"/>
    <n v="7.5"/>
    <n v="47.1"/>
    <x v="0"/>
    <n v="75.5"/>
    <x v="1"/>
    <s v="No"/>
    <s v="No"/>
  </r>
  <r>
    <s v="S182"/>
    <n v="3.2"/>
    <n v="81.8"/>
    <x v="1"/>
    <n v="63.4"/>
    <x v="0"/>
    <s v="No"/>
    <s v="Yes"/>
  </r>
  <r>
    <s v="S183"/>
    <n v="18.600000000000001"/>
    <n v="77.7"/>
    <x v="0"/>
    <n v="40.1"/>
    <x v="1"/>
    <s v="Yes"/>
    <s v="No"/>
  </r>
  <r>
    <s v="S184"/>
    <n v="17.7"/>
    <n v="92.6"/>
    <x v="0"/>
    <n v="47.7"/>
    <x v="1"/>
    <s v="Yes"/>
    <s v="Yes"/>
  </r>
  <r>
    <s v="S185"/>
    <n v="5.9"/>
    <n v="84.1"/>
    <x v="1"/>
    <n v="34.5"/>
    <x v="0"/>
    <s v="No"/>
    <s v="Yes"/>
  </r>
  <r>
    <s v="S186"/>
    <n v="13.5"/>
    <n v="88.2"/>
    <x v="0"/>
    <n v="92.7"/>
    <x v="1"/>
    <s v="Yes"/>
    <s v="Yes"/>
  </r>
  <r>
    <s v="S187"/>
    <n v="16.5"/>
    <n v="56.9"/>
    <x v="0"/>
    <n v="66.7"/>
    <x v="0"/>
    <s v="Yes"/>
    <s v="No"/>
  </r>
  <r>
    <s v="S188"/>
    <n v="11.5"/>
    <n v="50.6"/>
    <x v="0"/>
    <n v="52.1"/>
    <x v="1"/>
    <s v="Yes"/>
    <s v="No"/>
  </r>
  <r>
    <s v="S189"/>
    <n v="11.1"/>
    <n v="85"/>
    <x v="0"/>
    <n v="57"/>
    <x v="1"/>
    <s v="Yes"/>
    <s v="Yes"/>
  </r>
  <r>
    <s v="S190"/>
    <n v="5.6"/>
    <n v="88.4"/>
    <x v="0"/>
    <n v="95.8"/>
    <x v="1"/>
    <s v="No"/>
    <s v="Yes"/>
  </r>
  <r>
    <s v="S191"/>
    <n v="2.8"/>
    <n v="99.4"/>
    <x v="0"/>
    <n v="32.299999999999997"/>
    <x v="0"/>
    <s v="No"/>
    <s v="Yes"/>
  </r>
  <r>
    <s v="S192"/>
    <n v="18"/>
    <n v="64.8"/>
    <x v="1"/>
    <n v="66.900000000000006"/>
    <x v="0"/>
    <s v="Yes"/>
    <s v="No"/>
  </r>
  <r>
    <s v="S193"/>
    <n v="18.100000000000001"/>
    <n v="62.3"/>
    <x v="0"/>
    <n v="60.5"/>
    <x v="1"/>
    <s v="Yes"/>
    <s v="No"/>
  </r>
  <r>
    <s v="S194"/>
    <n v="13"/>
    <n v="86.6"/>
    <x v="0"/>
    <n v="68.900000000000006"/>
    <x v="1"/>
    <s v="Yes"/>
    <s v="Yes"/>
  </r>
  <r>
    <s v="S195"/>
    <n v="7.4"/>
    <n v="60.4"/>
    <x v="1"/>
    <n v="21.4"/>
    <x v="0"/>
    <s v="No"/>
    <s v="No"/>
  </r>
  <r>
    <s v="S196"/>
    <n v="7.6"/>
    <n v="95.8"/>
    <x v="0"/>
    <n v="89.8"/>
    <x v="1"/>
    <s v="No"/>
    <s v="Yes"/>
  </r>
  <r>
    <s v="S197"/>
    <n v="14.8"/>
    <n v="91.5"/>
    <x v="1"/>
    <n v="94.6"/>
    <x v="0"/>
    <s v="Yes"/>
    <s v="Yes"/>
  </r>
  <r>
    <s v="S198"/>
    <n v="18"/>
    <n v="65.7"/>
    <x v="0"/>
    <n v="65.2"/>
    <x v="1"/>
    <s v="Yes"/>
    <s v="No"/>
  </r>
  <r>
    <s v="S199"/>
    <n v="17.899999999999999"/>
    <n v="85.1"/>
    <x v="0"/>
    <n v="75.7"/>
    <x v="0"/>
    <s v="Yes"/>
    <s v="Yes"/>
  </r>
  <r>
    <s v="S200"/>
    <n v="15.8"/>
    <n v="85.3"/>
    <x v="0"/>
    <n v="93.8"/>
    <x v="1"/>
    <s v="Yes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32F49-A5AA-41A4-B116-52836494190C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8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BA05-164D-4E25-92F1-1ECE8907D17D}">
  <dimension ref="A2:I8"/>
  <sheetViews>
    <sheetView workbookViewId="0">
      <selection activeCell="G10" sqref="G10"/>
    </sheetView>
  </sheetViews>
  <sheetFormatPr defaultRowHeight="14.4" x14ac:dyDescent="0.3"/>
  <cols>
    <col min="1" max="1" width="18.44140625" bestFit="1" customWidth="1"/>
    <col min="2" max="2" width="15.5546875" bestFit="1" customWidth="1"/>
    <col min="3" max="3" width="4.6640625" bestFit="1" customWidth="1"/>
    <col min="4" max="4" width="10.77734375" bestFit="1" customWidth="1"/>
    <col min="6" max="6" width="38" bestFit="1" customWidth="1"/>
    <col min="7" max="7" width="31.77734375" bestFit="1" customWidth="1"/>
    <col min="8" max="8" width="47.5546875" bestFit="1" customWidth="1"/>
  </cols>
  <sheetData>
    <row r="2" spans="1:9" ht="15.6" x14ac:dyDescent="0.3">
      <c r="F2" s="21" t="s">
        <v>223</v>
      </c>
      <c r="G2" s="21" t="s">
        <v>226</v>
      </c>
      <c r="H2" s="21" t="s">
        <v>219</v>
      </c>
    </row>
    <row r="3" spans="1:9" ht="15.45" customHeight="1" x14ac:dyDescent="0.3">
      <c r="A3" s="9" t="s">
        <v>218</v>
      </c>
      <c r="B3" s="9" t="s">
        <v>217</v>
      </c>
      <c r="F3" s="19" t="s">
        <v>225</v>
      </c>
      <c r="G3" s="19" t="s">
        <v>227</v>
      </c>
      <c r="H3" s="19" t="s">
        <v>224</v>
      </c>
    </row>
    <row r="4" spans="1:9" x14ac:dyDescent="0.3">
      <c r="A4" s="9" t="s">
        <v>215</v>
      </c>
      <c r="B4" t="s">
        <v>8</v>
      </c>
      <c r="C4" t="s">
        <v>11</v>
      </c>
      <c r="D4" t="s">
        <v>216</v>
      </c>
      <c r="F4" s="20">
        <f>GETPIVOTDATA("Student_ID",$A$3,"group_discussion","Yes","final_exam_pass","Pass")/GETPIVOTDATA("Student_ID",$A$3)</f>
        <v>0.34</v>
      </c>
      <c r="G4" s="20">
        <f>GETPIVOTDATA("Student_ID",$A$3,"final_exam_pass","Pass")/GETPIVOTDATA("Student_ID",$A$3)</f>
        <v>0.55000000000000004</v>
      </c>
      <c r="H4" s="20">
        <f>GETPIVOTDATA("Student_ID",$A$3,"group_discussion","Yes","final_exam_pass","Pass")/GETPIVOTDATA("Student_ID",$A$3,"group_discussion","Yes")</f>
        <v>0.66019417475728159</v>
      </c>
    </row>
    <row r="5" spans="1:9" x14ac:dyDescent="0.3">
      <c r="A5" s="10" t="s">
        <v>10</v>
      </c>
      <c r="B5" s="11">
        <v>55</v>
      </c>
      <c r="C5" s="11">
        <v>42</v>
      </c>
      <c r="D5" s="11">
        <v>97</v>
      </c>
    </row>
    <row r="6" spans="1:9" x14ac:dyDescent="0.3">
      <c r="A6" s="10" t="s">
        <v>7</v>
      </c>
      <c r="B6" s="11">
        <v>35</v>
      </c>
      <c r="C6" s="11">
        <v>68</v>
      </c>
      <c r="D6" s="11">
        <v>103</v>
      </c>
      <c r="I6" s="8"/>
    </row>
    <row r="7" spans="1:9" x14ac:dyDescent="0.3">
      <c r="A7" s="10" t="s">
        <v>216</v>
      </c>
      <c r="B7" s="11">
        <v>90</v>
      </c>
      <c r="C7" s="11">
        <v>110</v>
      </c>
      <c r="D7" s="11">
        <v>200</v>
      </c>
      <c r="F7" s="22"/>
      <c r="G7" s="22"/>
      <c r="H7" s="22"/>
    </row>
    <row r="8" spans="1:9" x14ac:dyDescent="0.3">
      <c r="F8" s="22"/>
      <c r="G8" s="22"/>
      <c r="H8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workbookViewId="0">
      <pane ySplit="1" topLeftCell="A2" activePane="bottomLeft" state="frozen"/>
      <selection pane="bottomLeft" activeCell="L11" sqref="L11"/>
    </sheetView>
  </sheetViews>
  <sheetFormatPr defaultRowHeight="14.4" x14ac:dyDescent="0.3"/>
  <cols>
    <col min="1" max="1" width="12" customWidth="1"/>
    <col min="2" max="3" width="14" customWidth="1"/>
    <col min="4" max="4" width="18" customWidth="1"/>
    <col min="5" max="5" width="22" customWidth="1"/>
    <col min="6" max="6" width="18" customWidth="1"/>
    <col min="7" max="7" width="11.6640625" bestFit="1" customWidth="1"/>
    <col min="8" max="8" width="17.44140625" bestFit="1" customWidth="1"/>
    <col min="10" max="10" width="14.6640625" bestFit="1" customWidth="1"/>
    <col min="11" max="11" width="10.44140625" bestFit="1" customWidth="1"/>
    <col min="12" max="12" width="18.5546875" bestFit="1" customWidth="1"/>
  </cols>
  <sheetData>
    <row r="1" spans="1:12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210</v>
      </c>
      <c r="H1" s="1" t="s">
        <v>211</v>
      </c>
    </row>
    <row r="2" spans="1:12" ht="15.6" x14ac:dyDescent="0.3">
      <c r="A2" s="2" t="s">
        <v>6</v>
      </c>
      <c r="B2" s="2">
        <v>8.1</v>
      </c>
      <c r="C2" s="2">
        <v>78.5</v>
      </c>
      <c r="D2" s="2" t="s">
        <v>7</v>
      </c>
      <c r="E2" s="2">
        <v>33.5</v>
      </c>
      <c r="F2" s="3" t="s">
        <v>8</v>
      </c>
      <c r="G2" s="2" t="str">
        <f>IF(B2&gt;10,"Yes","No")</f>
        <v>No</v>
      </c>
      <c r="H2" s="2" t="str">
        <f>IF(C2&gt;80,"Yes","No")</f>
        <v>No</v>
      </c>
      <c r="J2" s="23" t="s">
        <v>212</v>
      </c>
      <c r="K2" s="23" t="s">
        <v>213</v>
      </c>
      <c r="L2" s="23" t="s">
        <v>214</v>
      </c>
    </row>
    <row r="3" spans="1:12" x14ac:dyDescent="0.3">
      <c r="A3" s="4" t="s">
        <v>9</v>
      </c>
      <c r="B3" s="4">
        <v>19.100000000000001</v>
      </c>
      <c r="C3" s="4">
        <v>45</v>
      </c>
      <c r="D3" s="4" t="s">
        <v>10</v>
      </c>
      <c r="E3" s="4">
        <v>42.3</v>
      </c>
      <c r="F3" s="5" t="s">
        <v>11</v>
      </c>
      <c r="G3" s="4" t="str">
        <f t="shared" ref="G3:G66" si="0">IF(B3&gt;10,"Yes","No")</f>
        <v>Yes</v>
      </c>
      <c r="H3" s="4" t="str">
        <f t="shared" ref="H3:H66" si="1">IF(C3&gt;80,"Yes","No")</f>
        <v>No</v>
      </c>
      <c r="J3" s="24">
        <f>COUNTA(A2:A201)</f>
        <v>200</v>
      </c>
      <c r="K3" s="24">
        <f>COUNTIF(F2:F201,"pass")</f>
        <v>110</v>
      </c>
      <c r="L3" s="25">
        <f>K3/J3</f>
        <v>0.55000000000000004</v>
      </c>
    </row>
    <row r="4" spans="1:12" x14ac:dyDescent="0.3">
      <c r="A4" s="2" t="s">
        <v>12</v>
      </c>
      <c r="B4" s="2">
        <v>14.9</v>
      </c>
      <c r="C4" s="2">
        <v>49.7</v>
      </c>
      <c r="D4" s="2" t="s">
        <v>7</v>
      </c>
      <c r="E4" s="2">
        <v>34.200000000000003</v>
      </c>
      <c r="F4" s="3" t="s">
        <v>8</v>
      </c>
      <c r="G4" s="2" t="str">
        <f t="shared" si="0"/>
        <v>Yes</v>
      </c>
      <c r="H4" s="2" t="str">
        <f t="shared" si="1"/>
        <v>No</v>
      </c>
    </row>
    <row r="5" spans="1:12" x14ac:dyDescent="0.3">
      <c r="A5" s="4" t="s">
        <v>13</v>
      </c>
      <c r="B5" s="4">
        <v>12.4</v>
      </c>
      <c r="C5" s="4">
        <v>93.9</v>
      </c>
      <c r="D5" s="4" t="s">
        <v>10</v>
      </c>
      <c r="E5" s="4">
        <v>27.1</v>
      </c>
      <c r="F5" s="6" t="s">
        <v>8</v>
      </c>
      <c r="G5" s="4" t="str">
        <f t="shared" si="0"/>
        <v>Yes</v>
      </c>
      <c r="H5" s="4" t="str">
        <f t="shared" si="1"/>
        <v>Yes</v>
      </c>
    </row>
    <row r="6" spans="1:12" x14ac:dyDescent="0.3">
      <c r="A6" s="2" t="s">
        <v>14</v>
      </c>
      <c r="B6" s="2">
        <v>4</v>
      </c>
      <c r="C6" s="2">
        <v>76.400000000000006</v>
      </c>
      <c r="D6" s="2" t="s">
        <v>7</v>
      </c>
      <c r="E6" s="2">
        <v>29.7</v>
      </c>
      <c r="F6" s="3" t="s">
        <v>8</v>
      </c>
      <c r="G6" s="2" t="str">
        <f t="shared" si="0"/>
        <v>No</v>
      </c>
      <c r="H6" s="2" t="str">
        <f t="shared" si="1"/>
        <v>No</v>
      </c>
    </row>
    <row r="7" spans="1:12" x14ac:dyDescent="0.3">
      <c r="A7" s="4" t="s">
        <v>15</v>
      </c>
      <c r="B7" s="4">
        <v>4</v>
      </c>
      <c r="C7" s="4">
        <v>40.6</v>
      </c>
      <c r="D7" s="4" t="s">
        <v>10</v>
      </c>
      <c r="E7" s="4">
        <v>56.9</v>
      </c>
      <c r="F7" s="6" t="s">
        <v>8</v>
      </c>
      <c r="G7" s="4" t="str">
        <f t="shared" si="0"/>
        <v>No</v>
      </c>
      <c r="H7" s="4" t="str">
        <f t="shared" si="1"/>
        <v>No</v>
      </c>
    </row>
    <row r="8" spans="1:12" x14ac:dyDescent="0.3">
      <c r="A8" s="2" t="s">
        <v>16</v>
      </c>
      <c r="B8" s="2">
        <v>2.1</v>
      </c>
      <c r="C8" s="2">
        <v>46.1</v>
      </c>
      <c r="D8" s="2" t="s">
        <v>7</v>
      </c>
      <c r="E8" s="2">
        <v>36.5</v>
      </c>
      <c r="F8" s="3" t="s">
        <v>8</v>
      </c>
      <c r="G8" s="2" t="str">
        <f t="shared" si="0"/>
        <v>No</v>
      </c>
      <c r="H8" s="2" t="str">
        <f t="shared" si="1"/>
        <v>No</v>
      </c>
    </row>
    <row r="9" spans="1:12" x14ac:dyDescent="0.3">
      <c r="A9" s="4" t="s">
        <v>17</v>
      </c>
      <c r="B9" s="4">
        <v>17.5</v>
      </c>
      <c r="C9" s="4">
        <v>79.8</v>
      </c>
      <c r="D9" s="4" t="s">
        <v>7</v>
      </c>
      <c r="E9" s="4">
        <v>49.1</v>
      </c>
      <c r="F9" s="6" t="s">
        <v>8</v>
      </c>
      <c r="G9" s="4" t="str">
        <f t="shared" si="0"/>
        <v>Yes</v>
      </c>
      <c r="H9" s="4" t="str">
        <f t="shared" si="1"/>
        <v>No</v>
      </c>
    </row>
    <row r="10" spans="1:12" x14ac:dyDescent="0.3">
      <c r="A10" s="2" t="s">
        <v>18</v>
      </c>
      <c r="B10" s="2">
        <v>12.4</v>
      </c>
      <c r="C10" s="2">
        <v>40.299999999999997</v>
      </c>
      <c r="D10" s="2" t="s">
        <v>10</v>
      </c>
      <c r="E10" s="2">
        <v>60.3</v>
      </c>
      <c r="F10" s="3" t="s">
        <v>8</v>
      </c>
      <c r="G10" s="2" t="str">
        <f t="shared" si="0"/>
        <v>Yes</v>
      </c>
      <c r="H10" s="2" t="str">
        <f t="shared" si="1"/>
        <v>No</v>
      </c>
    </row>
    <row r="11" spans="1:12" x14ac:dyDescent="0.3">
      <c r="A11" s="4" t="s">
        <v>19</v>
      </c>
      <c r="B11" s="4">
        <v>14.5</v>
      </c>
      <c r="C11" s="4">
        <v>49.6</v>
      </c>
      <c r="D11" s="4" t="s">
        <v>7</v>
      </c>
      <c r="E11" s="4">
        <v>75.2</v>
      </c>
      <c r="F11" s="5" t="s">
        <v>11</v>
      </c>
      <c r="G11" s="4" t="str">
        <f t="shared" si="0"/>
        <v>Yes</v>
      </c>
      <c r="H11" s="4" t="str">
        <f t="shared" si="1"/>
        <v>No</v>
      </c>
    </row>
    <row r="12" spans="1:12" x14ac:dyDescent="0.3">
      <c r="A12" s="2" t="s">
        <v>20</v>
      </c>
      <c r="B12" s="2">
        <v>1.4</v>
      </c>
      <c r="C12" s="2">
        <v>72.900000000000006</v>
      </c>
      <c r="D12" s="2" t="s">
        <v>7</v>
      </c>
      <c r="E12" s="2">
        <v>23.1</v>
      </c>
      <c r="F12" s="3" t="s">
        <v>8</v>
      </c>
      <c r="G12" s="2" t="str">
        <f t="shared" si="0"/>
        <v>No</v>
      </c>
      <c r="H12" s="2" t="str">
        <f t="shared" si="1"/>
        <v>No</v>
      </c>
    </row>
    <row r="13" spans="1:12" x14ac:dyDescent="0.3">
      <c r="A13" s="4" t="s">
        <v>21</v>
      </c>
      <c r="B13" s="4">
        <v>19.399999999999999</v>
      </c>
      <c r="C13" s="4">
        <v>81.5</v>
      </c>
      <c r="D13" s="4" t="s">
        <v>10</v>
      </c>
      <c r="E13" s="4">
        <v>84</v>
      </c>
      <c r="F13" s="6" t="s">
        <v>8</v>
      </c>
      <c r="G13" s="4" t="str">
        <f t="shared" si="0"/>
        <v>Yes</v>
      </c>
      <c r="H13" s="4" t="str">
        <f t="shared" si="1"/>
        <v>Yes</v>
      </c>
    </row>
    <row r="14" spans="1:12" x14ac:dyDescent="0.3">
      <c r="A14" s="2" t="s">
        <v>22</v>
      </c>
      <c r="B14" s="2">
        <v>16.8</v>
      </c>
      <c r="C14" s="2">
        <v>79.099999999999994</v>
      </c>
      <c r="D14" s="2" t="s">
        <v>10</v>
      </c>
      <c r="E14" s="2">
        <v>70.2</v>
      </c>
      <c r="F14" s="7" t="s">
        <v>11</v>
      </c>
      <c r="G14" s="2" t="str">
        <f t="shared" si="0"/>
        <v>Yes</v>
      </c>
      <c r="H14" s="2" t="str">
        <f t="shared" si="1"/>
        <v>No</v>
      </c>
    </row>
    <row r="15" spans="1:12" x14ac:dyDescent="0.3">
      <c r="A15" s="4" t="s">
        <v>23</v>
      </c>
      <c r="B15" s="4">
        <v>5</v>
      </c>
      <c r="C15" s="4">
        <v>53.5</v>
      </c>
      <c r="D15" s="4" t="s">
        <v>10</v>
      </c>
      <c r="E15" s="4">
        <v>26.5</v>
      </c>
      <c r="F15" s="6" t="s">
        <v>8</v>
      </c>
      <c r="G15" s="4" t="str">
        <f t="shared" si="0"/>
        <v>No</v>
      </c>
      <c r="H15" s="4" t="str">
        <f t="shared" si="1"/>
        <v>No</v>
      </c>
    </row>
    <row r="16" spans="1:12" x14ac:dyDescent="0.3">
      <c r="A16" s="2" t="s">
        <v>24</v>
      </c>
      <c r="B16" s="2">
        <v>4.5</v>
      </c>
      <c r="C16" s="2">
        <v>82.7</v>
      </c>
      <c r="D16" s="2" t="s">
        <v>10</v>
      </c>
      <c r="E16" s="2">
        <v>89.9</v>
      </c>
      <c r="F16" s="3" t="s">
        <v>8</v>
      </c>
      <c r="G16" s="2" t="str">
        <f t="shared" si="0"/>
        <v>No</v>
      </c>
      <c r="H16" s="2" t="str">
        <f t="shared" si="1"/>
        <v>Yes</v>
      </c>
    </row>
    <row r="17" spans="1:8" x14ac:dyDescent="0.3">
      <c r="A17" s="4" t="s">
        <v>25</v>
      </c>
      <c r="B17" s="4">
        <v>4.5</v>
      </c>
      <c r="C17" s="4">
        <v>54.2</v>
      </c>
      <c r="D17" s="4" t="s">
        <v>7</v>
      </c>
      <c r="E17" s="4">
        <v>93.7</v>
      </c>
      <c r="F17" s="5" t="s">
        <v>11</v>
      </c>
      <c r="G17" s="4" t="str">
        <f t="shared" si="0"/>
        <v>No</v>
      </c>
      <c r="H17" s="4" t="str">
        <f t="shared" si="1"/>
        <v>No</v>
      </c>
    </row>
    <row r="18" spans="1:8" x14ac:dyDescent="0.3">
      <c r="A18" s="2" t="s">
        <v>26</v>
      </c>
      <c r="B18" s="2">
        <v>6.8</v>
      </c>
      <c r="C18" s="2">
        <v>59.5</v>
      </c>
      <c r="D18" s="2" t="s">
        <v>7</v>
      </c>
      <c r="E18" s="2">
        <v>24.9</v>
      </c>
      <c r="F18" s="3" t="s">
        <v>8</v>
      </c>
      <c r="G18" s="2" t="str">
        <f t="shared" si="0"/>
        <v>No</v>
      </c>
      <c r="H18" s="2" t="str">
        <f t="shared" si="1"/>
        <v>No</v>
      </c>
    </row>
    <row r="19" spans="1:8" x14ac:dyDescent="0.3">
      <c r="A19" s="4" t="s">
        <v>27</v>
      </c>
      <c r="B19" s="4">
        <v>11</v>
      </c>
      <c r="C19" s="4">
        <v>84.8</v>
      </c>
      <c r="D19" s="4" t="s">
        <v>7</v>
      </c>
      <c r="E19" s="4">
        <v>42.2</v>
      </c>
      <c r="F19" s="5" t="s">
        <v>11</v>
      </c>
      <c r="G19" s="4" t="str">
        <f t="shared" si="0"/>
        <v>Yes</v>
      </c>
      <c r="H19" s="4" t="str">
        <f t="shared" si="1"/>
        <v>Yes</v>
      </c>
    </row>
    <row r="20" spans="1:8" x14ac:dyDescent="0.3">
      <c r="A20" s="2" t="s">
        <v>28</v>
      </c>
      <c r="B20" s="2">
        <v>9.1999999999999993</v>
      </c>
      <c r="C20" s="2">
        <v>79</v>
      </c>
      <c r="D20" s="2" t="s">
        <v>10</v>
      </c>
      <c r="E20" s="2">
        <v>84.5</v>
      </c>
      <c r="F20" s="7" t="s">
        <v>11</v>
      </c>
      <c r="G20" s="2" t="str">
        <f t="shared" si="0"/>
        <v>No</v>
      </c>
      <c r="H20" s="2" t="str">
        <f t="shared" si="1"/>
        <v>No</v>
      </c>
    </row>
    <row r="21" spans="1:8" x14ac:dyDescent="0.3">
      <c r="A21" s="4" t="s">
        <v>29</v>
      </c>
      <c r="B21" s="4">
        <v>6.5</v>
      </c>
      <c r="C21" s="4">
        <v>91</v>
      </c>
      <c r="D21" s="4" t="s">
        <v>10</v>
      </c>
      <c r="E21" s="4">
        <v>79.900000000000006</v>
      </c>
      <c r="F21" s="5" t="s">
        <v>11</v>
      </c>
      <c r="G21" s="4" t="str">
        <f t="shared" si="0"/>
        <v>No</v>
      </c>
      <c r="H21" s="4" t="str">
        <f t="shared" si="1"/>
        <v>Yes</v>
      </c>
    </row>
    <row r="22" spans="1:8" x14ac:dyDescent="0.3">
      <c r="A22" s="2" t="s">
        <v>30</v>
      </c>
      <c r="B22" s="2">
        <v>12.6</v>
      </c>
      <c r="C22" s="2">
        <v>79.5</v>
      </c>
      <c r="D22" s="2" t="s">
        <v>10</v>
      </c>
      <c r="E22" s="2">
        <v>34.799999999999997</v>
      </c>
      <c r="F22" s="3" t="s">
        <v>8</v>
      </c>
      <c r="G22" s="2" t="str">
        <f t="shared" si="0"/>
        <v>Yes</v>
      </c>
      <c r="H22" s="2" t="str">
        <f t="shared" si="1"/>
        <v>No</v>
      </c>
    </row>
    <row r="23" spans="1:8" x14ac:dyDescent="0.3">
      <c r="A23" s="4" t="s">
        <v>31</v>
      </c>
      <c r="B23" s="4">
        <v>3.7</v>
      </c>
      <c r="C23" s="4">
        <v>74.099999999999994</v>
      </c>
      <c r="D23" s="4" t="s">
        <v>10</v>
      </c>
      <c r="E23" s="4">
        <v>36.700000000000003</v>
      </c>
      <c r="F23" s="5" t="s">
        <v>11</v>
      </c>
      <c r="G23" s="4" t="str">
        <f t="shared" si="0"/>
        <v>No</v>
      </c>
      <c r="H23" s="4" t="str">
        <f t="shared" si="1"/>
        <v>No</v>
      </c>
    </row>
    <row r="24" spans="1:8" x14ac:dyDescent="0.3">
      <c r="A24" s="2" t="s">
        <v>32</v>
      </c>
      <c r="B24" s="2">
        <v>6.6</v>
      </c>
      <c r="C24" s="2">
        <v>45.6</v>
      </c>
      <c r="D24" s="2" t="s">
        <v>7</v>
      </c>
      <c r="E24" s="2">
        <v>49.6</v>
      </c>
      <c r="F24" s="7" t="s">
        <v>11</v>
      </c>
      <c r="G24" s="2" t="str">
        <f t="shared" si="0"/>
        <v>No</v>
      </c>
      <c r="H24" s="2" t="str">
        <f t="shared" si="1"/>
        <v>No</v>
      </c>
    </row>
    <row r="25" spans="1:8" x14ac:dyDescent="0.3">
      <c r="A25" s="4" t="s">
        <v>33</v>
      </c>
      <c r="B25" s="4">
        <v>8</v>
      </c>
      <c r="C25" s="4">
        <v>62.1</v>
      </c>
      <c r="D25" s="4" t="s">
        <v>7</v>
      </c>
      <c r="E25" s="4">
        <v>58.8</v>
      </c>
      <c r="F25" s="5" t="s">
        <v>11</v>
      </c>
      <c r="G25" s="4" t="str">
        <f t="shared" si="0"/>
        <v>No</v>
      </c>
      <c r="H25" s="4" t="str">
        <f t="shared" si="1"/>
        <v>No</v>
      </c>
    </row>
    <row r="26" spans="1:8" x14ac:dyDescent="0.3">
      <c r="A26" s="2" t="s">
        <v>34</v>
      </c>
      <c r="B26" s="2">
        <v>9.6999999999999993</v>
      </c>
      <c r="C26" s="2">
        <v>55.9</v>
      </c>
      <c r="D26" s="2" t="s">
        <v>7</v>
      </c>
      <c r="E26" s="2">
        <v>69.5</v>
      </c>
      <c r="F26" s="7" t="s">
        <v>11</v>
      </c>
      <c r="G26" s="2" t="str">
        <f t="shared" si="0"/>
        <v>No</v>
      </c>
      <c r="H26" s="2" t="str">
        <f t="shared" si="1"/>
        <v>No</v>
      </c>
    </row>
    <row r="27" spans="1:8" x14ac:dyDescent="0.3">
      <c r="A27" s="4" t="s">
        <v>35</v>
      </c>
      <c r="B27" s="4">
        <v>15.9</v>
      </c>
      <c r="C27" s="4">
        <v>54.6</v>
      </c>
      <c r="D27" s="4" t="s">
        <v>7</v>
      </c>
      <c r="E27" s="4">
        <v>49.5</v>
      </c>
      <c r="F27" s="6" t="s">
        <v>8</v>
      </c>
      <c r="G27" s="4" t="str">
        <f t="shared" si="0"/>
        <v>Yes</v>
      </c>
      <c r="H27" s="4" t="str">
        <f t="shared" si="1"/>
        <v>No</v>
      </c>
    </row>
    <row r="28" spans="1:8" x14ac:dyDescent="0.3">
      <c r="A28" s="2" t="s">
        <v>36</v>
      </c>
      <c r="B28" s="2">
        <v>4.8</v>
      </c>
      <c r="C28" s="2">
        <v>98.4</v>
      </c>
      <c r="D28" s="2" t="s">
        <v>7</v>
      </c>
      <c r="E28" s="2">
        <v>57</v>
      </c>
      <c r="F28" s="7" t="s">
        <v>11</v>
      </c>
      <c r="G28" s="2" t="str">
        <f t="shared" si="0"/>
        <v>No</v>
      </c>
      <c r="H28" s="2" t="str">
        <f t="shared" si="1"/>
        <v>Yes</v>
      </c>
    </row>
    <row r="29" spans="1:8" x14ac:dyDescent="0.3">
      <c r="A29" s="4" t="s">
        <v>37</v>
      </c>
      <c r="B29" s="4">
        <v>10.8</v>
      </c>
      <c r="C29" s="4">
        <v>63.6</v>
      </c>
      <c r="D29" s="4" t="s">
        <v>10</v>
      </c>
      <c r="E29" s="4">
        <v>79.8</v>
      </c>
      <c r="F29" s="5" t="s">
        <v>11</v>
      </c>
      <c r="G29" s="4" t="str">
        <f t="shared" si="0"/>
        <v>Yes</v>
      </c>
      <c r="H29" s="4" t="str">
        <f t="shared" si="1"/>
        <v>No</v>
      </c>
    </row>
    <row r="30" spans="1:8" x14ac:dyDescent="0.3">
      <c r="A30" s="2" t="s">
        <v>38</v>
      </c>
      <c r="B30" s="2">
        <v>12.3</v>
      </c>
      <c r="C30" s="2">
        <v>93.5</v>
      </c>
      <c r="D30" s="2" t="s">
        <v>7</v>
      </c>
      <c r="E30" s="2">
        <v>22.9</v>
      </c>
      <c r="F30" s="3" t="s">
        <v>8</v>
      </c>
      <c r="G30" s="2" t="str">
        <f t="shared" si="0"/>
        <v>Yes</v>
      </c>
      <c r="H30" s="2" t="str">
        <f t="shared" si="1"/>
        <v>Yes</v>
      </c>
    </row>
    <row r="31" spans="1:8" x14ac:dyDescent="0.3">
      <c r="A31" s="4" t="s">
        <v>39</v>
      </c>
      <c r="B31" s="4">
        <v>1.9</v>
      </c>
      <c r="C31" s="4">
        <v>77.900000000000006</v>
      </c>
      <c r="D31" s="4" t="s">
        <v>7</v>
      </c>
      <c r="E31" s="4">
        <v>40.200000000000003</v>
      </c>
      <c r="F31" s="6" t="s">
        <v>8</v>
      </c>
      <c r="G31" s="4" t="str">
        <f t="shared" si="0"/>
        <v>No</v>
      </c>
      <c r="H31" s="4" t="str">
        <f t="shared" si="1"/>
        <v>No</v>
      </c>
    </row>
    <row r="32" spans="1:8" x14ac:dyDescent="0.3">
      <c r="A32" s="2" t="s">
        <v>40</v>
      </c>
      <c r="B32" s="2">
        <v>12.5</v>
      </c>
      <c r="C32" s="2">
        <v>87.7</v>
      </c>
      <c r="D32" s="2" t="s">
        <v>7</v>
      </c>
      <c r="E32" s="2">
        <v>77.099999999999994</v>
      </c>
      <c r="F32" s="7" t="s">
        <v>11</v>
      </c>
      <c r="G32" s="2" t="str">
        <f t="shared" si="0"/>
        <v>Yes</v>
      </c>
      <c r="H32" s="2" t="str">
        <f t="shared" si="1"/>
        <v>Yes</v>
      </c>
    </row>
    <row r="33" spans="1:8" x14ac:dyDescent="0.3">
      <c r="A33" s="4" t="s">
        <v>41</v>
      </c>
      <c r="B33" s="4">
        <v>4.2</v>
      </c>
      <c r="C33" s="4">
        <v>70.2</v>
      </c>
      <c r="D33" s="4" t="s">
        <v>10</v>
      </c>
      <c r="E33" s="4">
        <v>91.6</v>
      </c>
      <c r="F33" s="5" t="s">
        <v>11</v>
      </c>
      <c r="G33" s="4" t="str">
        <f t="shared" si="0"/>
        <v>No</v>
      </c>
      <c r="H33" s="4" t="str">
        <f t="shared" si="1"/>
        <v>No</v>
      </c>
    </row>
    <row r="34" spans="1:8" x14ac:dyDescent="0.3">
      <c r="A34" s="2" t="s">
        <v>42</v>
      </c>
      <c r="B34" s="2">
        <v>2.2000000000000002</v>
      </c>
      <c r="C34" s="2">
        <v>74.599999999999994</v>
      </c>
      <c r="D34" s="2" t="s">
        <v>10</v>
      </c>
      <c r="E34" s="2">
        <v>60.9</v>
      </c>
      <c r="F34" s="7" t="s">
        <v>11</v>
      </c>
      <c r="G34" s="2" t="str">
        <f t="shared" si="0"/>
        <v>No</v>
      </c>
      <c r="H34" s="2" t="str">
        <f t="shared" si="1"/>
        <v>No</v>
      </c>
    </row>
    <row r="35" spans="1:8" x14ac:dyDescent="0.3">
      <c r="A35" s="4" t="s">
        <v>43</v>
      </c>
      <c r="B35" s="4">
        <v>19</v>
      </c>
      <c r="C35" s="4">
        <v>69.599999999999994</v>
      </c>
      <c r="D35" s="4" t="s">
        <v>7</v>
      </c>
      <c r="E35" s="4">
        <v>62.6</v>
      </c>
      <c r="F35" s="5" t="s">
        <v>11</v>
      </c>
      <c r="G35" s="4" t="str">
        <f t="shared" si="0"/>
        <v>Yes</v>
      </c>
      <c r="H35" s="4" t="str">
        <f t="shared" si="1"/>
        <v>No</v>
      </c>
    </row>
    <row r="36" spans="1:8" x14ac:dyDescent="0.3">
      <c r="A36" s="2" t="s">
        <v>44</v>
      </c>
      <c r="B36" s="2">
        <v>19.3</v>
      </c>
      <c r="C36" s="2">
        <v>51.7</v>
      </c>
      <c r="D36" s="2" t="s">
        <v>7</v>
      </c>
      <c r="E36" s="2">
        <v>28.6</v>
      </c>
      <c r="F36" s="3" t="s">
        <v>8</v>
      </c>
      <c r="G36" s="2" t="str">
        <f t="shared" si="0"/>
        <v>Yes</v>
      </c>
      <c r="H36" s="2" t="str">
        <f t="shared" si="1"/>
        <v>No</v>
      </c>
    </row>
    <row r="37" spans="1:8" x14ac:dyDescent="0.3">
      <c r="A37" s="4" t="s">
        <v>45</v>
      </c>
      <c r="B37" s="4">
        <v>16.399999999999999</v>
      </c>
      <c r="C37" s="4">
        <v>83.3</v>
      </c>
      <c r="D37" s="4" t="s">
        <v>10</v>
      </c>
      <c r="E37" s="4">
        <v>55.8</v>
      </c>
      <c r="F37" s="5" t="s">
        <v>11</v>
      </c>
      <c r="G37" s="4" t="str">
        <f t="shared" si="0"/>
        <v>Yes</v>
      </c>
      <c r="H37" s="4" t="str">
        <f t="shared" si="1"/>
        <v>Yes</v>
      </c>
    </row>
    <row r="38" spans="1:8" x14ac:dyDescent="0.3">
      <c r="A38" s="2" t="s">
        <v>46</v>
      </c>
      <c r="B38" s="2">
        <v>6.8</v>
      </c>
      <c r="C38" s="2">
        <v>56.8</v>
      </c>
      <c r="D38" s="2" t="s">
        <v>7</v>
      </c>
      <c r="E38" s="2">
        <v>62.6</v>
      </c>
      <c r="F38" s="3" t="s">
        <v>8</v>
      </c>
      <c r="G38" s="2" t="str">
        <f t="shared" si="0"/>
        <v>No</v>
      </c>
      <c r="H38" s="2" t="str">
        <f t="shared" si="1"/>
        <v>No</v>
      </c>
    </row>
    <row r="39" spans="1:8" x14ac:dyDescent="0.3">
      <c r="A39" s="4" t="s">
        <v>47</v>
      </c>
      <c r="B39" s="4">
        <v>2.9</v>
      </c>
      <c r="C39" s="4">
        <v>41.5</v>
      </c>
      <c r="D39" s="4" t="s">
        <v>10</v>
      </c>
      <c r="E39" s="4">
        <v>39.4</v>
      </c>
      <c r="F39" s="6" t="s">
        <v>8</v>
      </c>
      <c r="G39" s="4" t="str">
        <f t="shared" si="0"/>
        <v>No</v>
      </c>
      <c r="H39" s="4" t="str">
        <f t="shared" si="1"/>
        <v>No</v>
      </c>
    </row>
    <row r="40" spans="1:8" x14ac:dyDescent="0.3">
      <c r="A40" s="2" t="s">
        <v>48</v>
      </c>
      <c r="B40" s="2">
        <v>14</v>
      </c>
      <c r="C40" s="2">
        <v>78.7</v>
      </c>
      <c r="D40" s="2" t="s">
        <v>10</v>
      </c>
      <c r="E40" s="2">
        <v>41.5</v>
      </c>
      <c r="F40" s="3" t="s">
        <v>8</v>
      </c>
      <c r="G40" s="2" t="str">
        <f t="shared" si="0"/>
        <v>Yes</v>
      </c>
      <c r="H40" s="2" t="str">
        <f t="shared" si="1"/>
        <v>No</v>
      </c>
    </row>
    <row r="41" spans="1:8" x14ac:dyDescent="0.3">
      <c r="A41" s="4" t="s">
        <v>49</v>
      </c>
      <c r="B41" s="4">
        <v>9.4</v>
      </c>
      <c r="C41" s="4">
        <v>50.6</v>
      </c>
      <c r="D41" s="4" t="s">
        <v>7</v>
      </c>
      <c r="E41" s="4">
        <v>50.2</v>
      </c>
      <c r="F41" s="6" t="s">
        <v>8</v>
      </c>
      <c r="G41" s="4" t="str">
        <f t="shared" si="0"/>
        <v>No</v>
      </c>
      <c r="H41" s="4" t="str">
        <f t="shared" si="1"/>
        <v>No</v>
      </c>
    </row>
    <row r="42" spans="1:8" x14ac:dyDescent="0.3">
      <c r="A42" s="2" t="s">
        <v>50</v>
      </c>
      <c r="B42" s="2">
        <v>3.3</v>
      </c>
      <c r="C42" s="2">
        <v>96.4</v>
      </c>
      <c r="D42" s="2" t="s">
        <v>7</v>
      </c>
      <c r="E42" s="2">
        <v>21.6</v>
      </c>
      <c r="F42" s="7" t="s">
        <v>11</v>
      </c>
      <c r="G42" s="2" t="str">
        <f t="shared" si="0"/>
        <v>No</v>
      </c>
      <c r="H42" s="2" t="str">
        <f t="shared" si="1"/>
        <v>Yes</v>
      </c>
    </row>
    <row r="43" spans="1:8" x14ac:dyDescent="0.3">
      <c r="A43" s="4" t="s">
        <v>51</v>
      </c>
      <c r="B43" s="4">
        <v>10.4</v>
      </c>
      <c r="C43" s="4">
        <v>97.2</v>
      </c>
      <c r="D43" s="4" t="s">
        <v>10</v>
      </c>
      <c r="E43" s="4">
        <v>45.8</v>
      </c>
      <c r="F43" s="6" t="s">
        <v>8</v>
      </c>
      <c r="G43" s="4" t="str">
        <f t="shared" si="0"/>
        <v>Yes</v>
      </c>
      <c r="H43" s="4" t="str">
        <f t="shared" si="1"/>
        <v>Yes</v>
      </c>
    </row>
    <row r="44" spans="1:8" x14ac:dyDescent="0.3">
      <c r="A44" s="2" t="s">
        <v>52</v>
      </c>
      <c r="B44" s="2">
        <v>1.7</v>
      </c>
      <c r="C44" s="2">
        <v>94.9</v>
      </c>
      <c r="D44" s="2" t="s">
        <v>7</v>
      </c>
      <c r="E44" s="2">
        <v>36.9</v>
      </c>
      <c r="F44" s="7" t="s">
        <v>11</v>
      </c>
      <c r="G44" s="2" t="str">
        <f t="shared" si="0"/>
        <v>No</v>
      </c>
      <c r="H44" s="2" t="str">
        <f t="shared" si="1"/>
        <v>Yes</v>
      </c>
    </row>
    <row r="45" spans="1:8" x14ac:dyDescent="0.3">
      <c r="A45" s="4" t="s">
        <v>53</v>
      </c>
      <c r="B45" s="4">
        <v>18.3</v>
      </c>
      <c r="C45" s="4">
        <v>62.2</v>
      </c>
      <c r="D45" s="4" t="s">
        <v>7</v>
      </c>
      <c r="E45" s="4">
        <v>46.2</v>
      </c>
      <c r="F45" s="6" t="s">
        <v>8</v>
      </c>
      <c r="G45" s="4" t="str">
        <f t="shared" si="0"/>
        <v>Yes</v>
      </c>
      <c r="H45" s="4" t="str">
        <f t="shared" si="1"/>
        <v>No</v>
      </c>
    </row>
    <row r="46" spans="1:8" x14ac:dyDescent="0.3">
      <c r="A46" s="2" t="s">
        <v>54</v>
      </c>
      <c r="B46" s="2">
        <v>5.9</v>
      </c>
      <c r="C46" s="2">
        <v>40.9</v>
      </c>
      <c r="D46" s="2" t="s">
        <v>10</v>
      </c>
      <c r="E46" s="2">
        <v>29.6</v>
      </c>
      <c r="F46" s="3" t="s">
        <v>8</v>
      </c>
      <c r="G46" s="2" t="str">
        <f t="shared" si="0"/>
        <v>No</v>
      </c>
      <c r="H46" s="2" t="str">
        <f t="shared" si="1"/>
        <v>No</v>
      </c>
    </row>
    <row r="47" spans="1:8" x14ac:dyDescent="0.3">
      <c r="A47" s="4" t="s">
        <v>55</v>
      </c>
      <c r="B47" s="4">
        <v>13.6</v>
      </c>
      <c r="C47" s="4">
        <v>95.7</v>
      </c>
      <c r="D47" s="4" t="s">
        <v>10</v>
      </c>
      <c r="E47" s="4">
        <v>91.2</v>
      </c>
      <c r="F47" s="5" t="s">
        <v>11</v>
      </c>
      <c r="G47" s="4" t="str">
        <f t="shared" si="0"/>
        <v>Yes</v>
      </c>
      <c r="H47" s="4" t="str">
        <f t="shared" si="1"/>
        <v>Yes</v>
      </c>
    </row>
    <row r="48" spans="1:8" x14ac:dyDescent="0.3">
      <c r="A48" s="2" t="s">
        <v>56</v>
      </c>
      <c r="B48" s="2">
        <v>6.9</v>
      </c>
      <c r="C48" s="2">
        <v>65.7</v>
      </c>
      <c r="D48" s="2" t="s">
        <v>10</v>
      </c>
      <c r="E48" s="2">
        <v>67.5</v>
      </c>
      <c r="F48" s="7" t="s">
        <v>11</v>
      </c>
      <c r="G48" s="2" t="str">
        <f t="shared" si="0"/>
        <v>No</v>
      </c>
      <c r="H48" s="2" t="str">
        <f t="shared" si="1"/>
        <v>No</v>
      </c>
    </row>
    <row r="49" spans="1:8" x14ac:dyDescent="0.3">
      <c r="A49" s="4" t="s">
        <v>57</v>
      </c>
      <c r="B49" s="4">
        <v>10.9</v>
      </c>
      <c r="C49" s="4">
        <v>98</v>
      </c>
      <c r="D49" s="4" t="s">
        <v>10</v>
      </c>
      <c r="E49" s="4">
        <v>74.3</v>
      </c>
      <c r="F49" s="6" t="s">
        <v>8</v>
      </c>
      <c r="G49" s="4" t="str">
        <f t="shared" si="0"/>
        <v>Yes</v>
      </c>
      <c r="H49" s="4" t="str">
        <f t="shared" si="1"/>
        <v>Yes</v>
      </c>
    </row>
    <row r="50" spans="1:8" x14ac:dyDescent="0.3">
      <c r="A50" s="2" t="s">
        <v>58</v>
      </c>
      <c r="B50" s="2">
        <v>11.4</v>
      </c>
      <c r="C50" s="2">
        <v>97.8</v>
      </c>
      <c r="D50" s="2" t="s">
        <v>7</v>
      </c>
      <c r="E50" s="2">
        <v>83.1</v>
      </c>
      <c r="F50" s="7" t="s">
        <v>11</v>
      </c>
      <c r="G50" s="2" t="str">
        <f t="shared" si="0"/>
        <v>Yes</v>
      </c>
      <c r="H50" s="2" t="str">
        <f t="shared" si="1"/>
        <v>Yes</v>
      </c>
    </row>
    <row r="51" spans="1:8" x14ac:dyDescent="0.3">
      <c r="A51" s="4" t="s">
        <v>59</v>
      </c>
      <c r="B51" s="4">
        <v>4.5</v>
      </c>
      <c r="C51" s="4">
        <v>91.2</v>
      </c>
      <c r="D51" s="4" t="s">
        <v>7</v>
      </c>
      <c r="E51" s="4">
        <v>59.9</v>
      </c>
      <c r="F51" s="5" t="s">
        <v>11</v>
      </c>
      <c r="G51" s="4" t="str">
        <f t="shared" si="0"/>
        <v>No</v>
      </c>
      <c r="H51" s="4" t="str">
        <f t="shared" si="1"/>
        <v>Yes</v>
      </c>
    </row>
    <row r="52" spans="1:8" x14ac:dyDescent="0.3">
      <c r="A52" s="2" t="s">
        <v>60</v>
      </c>
      <c r="B52" s="2">
        <v>19.399999999999999</v>
      </c>
      <c r="C52" s="2">
        <v>57.7</v>
      </c>
      <c r="D52" s="2" t="s">
        <v>10</v>
      </c>
      <c r="E52" s="2">
        <v>27</v>
      </c>
      <c r="F52" s="7" t="s">
        <v>11</v>
      </c>
      <c r="G52" s="2" t="str">
        <f t="shared" si="0"/>
        <v>Yes</v>
      </c>
      <c r="H52" s="2" t="str">
        <f t="shared" si="1"/>
        <v>No</v>
      </c>
    </row>
    <row r="53" spans="1:8" x14ac:dyDescent="0.3">
      <c r="A53" s="4" t="s">
        <v>61</v>
      </c>
      <c r="B53" s="4">
        <v>15.7</v>
      </c>
      <c r="C53" s="4">
        <v>63.1</v>
      </c>
      <c r="D53" s="4" t="s">
        <v>10</v>
      </c>
      <c r="E53" s="4">
        <v>63</v>
      </c>
      <c r="F53" s="6" t="s">
        <v>8</v>
      </c>
      <c r="G53" s="4" t="str">
        <f t="shared" si="0"/>
        <v>Yes</v>
      </c>
      <c r="H53" s="4" t="str">
        <f t="shared" si="1"/>
        <v>No</v>
      </c>
    </row>
    <row r="54" spans="1:8" x14ac:dyDescent="0.3">
      <c r="A54" s="2" t="s">
        <v>62</v>
      </c>
      <c r="B54" s="2">
        <v>18.899999999999999</v>
      </c>
      <c r="C54" s="2">
        <v>91.1</v>
      </c>
      <c r="D54" s="2" t="s">
        <v>7</v>
      </c>
      <c r="E54" s="2">
        <v>66.900000000000006</v>
      </c>
      <c r="F54" s="7" t="s">
        <v>11</v>
      </c>
      <c r="G54" s="2" t="str">
        <f t="shared" si="0"/>
        <v>Yes</v>
      </c>
      <c r="H54" s="2" t="str">
        <f t="shared" si="1"/>
        <v>Yes</v>
      </c>
    </row>
    <row r="55" spans="1:8" x14ac:dyDescent="0.3">
      <c r="A55" s="4" t="s">
        <v>63</v>
      </c>
      <c r="B55" s="4">
        <v>18</v>
      </c>
      <c r="C55" s="4">
        <v>59</v>
      </c>
      <c r="D55" s="4" t="s">
        <v>10</v>
      </c>
      <c r="E55" s="4">
        <v>79.599999999999994</v>
      </c>
      <c r="F55" s="6" t="s">
        <v>8</v>
      </c>
      <c r="G55" s="4" t="str">
        <f t="shared" si="0"/>
        <v>Yes</v>
      </c>
      <c r="H55" s="4" t="str">
        <f t="shared" si="1"/>
        <v>No</v>
      </c>
    </row>
    <row r="56" spans="1:8" x14ac:dyDescent="0.3">
      <c r="A56" s="2" t="s">
        <v>64</v>
      </c>
      <c r="B56" s="2">
        <v>12.4</v>
      </c>
      <c r="C56" s="2">
        <v>50.2</v>
      </c>
      <c r="D56" s="2" t="s">
        <v>7</v>
      </c>
      <c r="E56" s="2">
        <v>54.5</v>
      </c>
      <c r="F56" s="7" t="s">
        <v>11</v>
      </c>
      <c r="G56" s="2" t="str">
        <f t="shared" si="0"/>
        <v>Yes</v>
      </c>
      <c r="H56" s="2" t="str">
        <f t="shared" si="1"/>
        <v>No</v>
      </c>
    </row>
    <row r="57" spans="1:8" x14ac:dyDescent="0.3">
      <c r="A57" s="4" t="s">
        <v>65</v>
      </c>
      <c r="B57" s="4">
        <v>18.5</v>
      </c>
      <c r="C57" s="4">
        <v>73.400000000000006</v>
      </c>
      <c r="D57" s="4" t="s">
        <v>7</v>
      </c>
      <c r="E57" s="4">
        <v>30.2</v>
      </c>
      <c r="F57" s="5" t="s">
        <v>11</v>
      </c>
      <c r="G57" s="4" t="str">
        <f t="shared" si="0"/>
        <v>Yes</v>
      </c>
      <c r="H57" s="4" t="str">
        <f t="shared" si="1"/>
        <v>No</v>
      </c>
    </row>
    <row r="58" spans="1:8" x14ac:dyDescent="0.3">
      <c r="A58" s="2" t="s">
        <v>66</v>
      </c>
      <c r="B58" s="2">
        <v>2.7</v>
      </c>
      <c r="C58" s="2">
        <v>96.2</v>
      </c>
      <c r="D58" s="2" t="s">
        <v>7</v>
      </c>
      <c r="E58" s="2">
        <v>42.7</v>
      </c>
      <c r="F58" s="7" t="s">
        <v>11</v>
      </c>
      <c r="G58" s="2" t="str">
        <f t="shared" si="0"/>
        <v>No</v>
      </c>
      <c r="H58" s="2" t="str">
        <f t="shared" si="1"/>
        <v>Yes</v>
      </c>
    </row>
    <row r="59" spans="1:8" x14ac:dyDescent="0.3">
      <c r="A59" s="4" t="s">
        <v>67</v>
      </c>
      <c r="B59" s="4">
        <v>4.7</v>
      </c>
      <c r="C59" s="4">
        <v>81.8</v>
      </c>
      <c r="D59" s="4" t="s">
        <v>7</v>
      </c>
      <c r="E59" s="4">
        <v>49</v>
      </c>
      <c r="F59" s="5" t="s">
        <v>11</v>
      </c>
      <c r="G59" s="4" t="str">
        <f t="shared" si="0"/>
        <v>No</v>
      </c>
      <c r="H59" s="4" t="str">
        <f t="shared" si="1"/>
        <v>Yes</v>
      </c>
    </row>
    <row r="60" spans="1:8" x14ac:dyDescent="0.3">
      <c r="A60" s="2" t="s">
        <v>68</v>
      </c>
      <c r="B60" s="2">
        <v>1.9</v>
      </c>
      <c r="C60" s="2">
        <v>74.2</v>
      </c>
      <c r="D60" s="2" t="s">
        <v>7</v>
      </c>
      <c r="E60" s="2">
        <v>71.7</v>
      </c>
      <c r="F60" s="7" t="s">
        <v>11</v>
      </c>
      <c r="G60" s="2" t="str">
        <f t="shared" si="0"/>
        <v>No</v>
      </c>
      <c r="H60" s="2" t="str">
        <f t="shared" si="1"/>
        <v>No</v>
      </c>
    </row>
    <row r="61" spans="1:8" x14ac:dyDescent="0.3">
      <c r="A61" s="4" t="s">
        <v>69</v>
      </c>
      <c r="B61" s="4">
        <v>7.2</v>
      </c>
      <c r="C61" s="4">
        <v>45.8</v>
      </c>
      <c r="D61" s="4" t="s">
        <v>7</v>
      </c>
      <c r="E61" s="4">
        <v>65.7</v>
      </c>
      <c r="F61" s="5" t="s">
        <v>11</v>
      </c>
      <c r="G61" s="4" t="str">
        <f t="shared" si="0"/>
        <v>No</v>
      </c>
      <c r="H61" s="4" t="str">
        <f t="shared" si="1"/>
        <v>No</v>
      </c>
    </row>
    <row r="62" spans="1:8" x14ac:dyDescent="0.3">
      <c r="A62" s="2" t="s">
        <v>70</v>
      </c>
      <c r="B62" s="2">
        <v>8.4</v>
      </c>
      <c r="C62" s="2">
        <v>76.900000000000006</v>
      </c>
      <c r="D62" s="2" t="s">
        <v>7</v>
      </c>
      <c r="E62" s="2">
        <v>48.5</v>
      </c>
      <c r="F62" s="3" t="s">
        <v>8</v>
      </c>
      <c r="G62" s="2" t="str">
        <f t="shared" si="0"/>
        <v>No</v>
      </c>
      <c r="H62" s="2" t="str">
        <f t="shared" si="1"/>
        <v>No</v>
      </c>
    </row>
    <row r="63" spans="1:8" x14ac:dyDescent="0.3">
      <c r="A63" s="4" t="s">
        <v>71</v>
      </c>
      <c r="B63" s="4">
        <v>6.2</v>
      </c>
      <c r="C63" s="4">
        <v>99.4</v>
      </c>
      <c r="D63" s="4" t="s">
        <v>10</v>
      </c>
      <c r="E63" s="4">
        <v>98.9</v>
      </c>
      <c r="F63" s="5" t="s">
        <v>11</v>
      </c>
      <c r="G63" s="4" t="str">
        <f t="shared" si="0"/>
        <v>No</v>
      </c>
      <c r="H63" s="4" t="str">
        <f t="shared" si="1"/>
        <v>Yes</v>
      </c>
    </row>
    <row r="64" spans="1:8" x14ac:dyDescent="0.3">
      <c r="A64" s="2" t="s">
        <v>72</v>
      </c>
      <c r="B64" s="2">
        <v>16.7</v>
      </c>
      <c r="C64" s="2">
        <v>48.4</v>
      </c>
      <c r="D64" s="2" t="s">
        <v>10</v>
      </c>
      <c r="E64" s="2">
        <v>68.5</v>
      </c>
      <c r="F64" s="3" t="s">
        <v>8</v>
      </c>
      <c r="G64" s="2" t="str">
        <f t="shared" si="0"/>
        <v>Yes</v>
      </c>
      <c r="H64" s="2" t="str">
        <f t="shared" si="1"/>
        <v>No</v>
      </c>
    </row>
    <row r="65" spans="1:8" x14ac:dyDescent="0.3">
      <c r="A65" s="4" t="s">
        <v>73</v>
      </c>
      <c r="B65" s="4">
        <v>7.8</v>
      </c>
      <c r="C65" s="4">
        <v>71.099999999999994</v>
      </c>
      <c r="D65" s="4" t="s">
        <v>10</v>
      </c>
      <c r="E65" s="4">
        <v>39</v>
      </c>
      <c r="F65" s="6" t="s">
        <v>8</v>
      </c>
      <c r="G65" s="4" t="str">
        <f t="shared" si="0"/>
        <v>No</v>
      </c>
      <c r="H65" s="4" t="str">
        <f t="shared" si="1"/>
        <v>No</v>
      </c>
    </row>
    <row r="66" spans="1:8" x14ac:dyDescent="0.3">
      <c r="A66" s="2" t="s">
        <v>74</v>
      </c>
      <c r="B66" s="2">
        <v>6.3</v>
      </c>
      <c r="C66" s="2">
        <v>92.6</v>
      </c>
      <c r="D66" s="2" t="s">
        <v>10</v>
      </c>
      <c r="E66" s="2">
        <v>28.1</v>
      </c>
      <c r="F66" s="3" t="s">
        <v>8</v>
      </c>
      <c r="G66" s="2" t="str">
        <f t="shared" si="0"/>
        <v>No</v>
      </c>
      <c r="H66" s="2" t="str">
        <f t="shared" si="1"/>
        <v>Yes</v>
      </c>
    </row>
    <row r="67" spans="1:8" x14ac:dyDescent="0.3">
      <c r="A67" s="4" t="s">
        <v>75</v>
      </c>
      <c r="B67" s="4">
        <v>11.3</v>
      </c>
      <c r="C67" s="4">
        <v>84.4</v>
      </c>
      <c r="D67" s="4" t="s">
        <v>7</v>
      </c>
      <c r="E67" s="4">
        <v>32.200000000000003</v>
      </c>
      <c r="F67" s="6" t="s">
        <v>8</v>
      </c>
      <c r="G67" s="4" t="str">
        <f t="shared" ref="G67:G130" si="2">IF(B67&gt;10,"Yes","No")</f>
        <v>Yes</v>
      </c>
      <c r="H67" s="4" t="str">
        <f t="shared" ref="H67:H130" si="3">IF(C67&gt;80,"Yes","No")</f>
        <v>Yes</v>
      </c>
    </row>
    <row r="68" spans="1:8" x14ac:dyDescent="0.3">
      <c r="A68" s="2" t="s">
        <v>76</v>
      </c>
      <c r="B68" s="2">
        <v>3.7</v>
      </c>
      <c r="C68" s="2">
        <v>81.8</v>
      </c>
      <c r="D68" s="2" t="s">
        <v>7</v>
      </c>
      <c r="E68" s="2">
        <v>39.700000000000003</v>
      </c>
      <c r="F68" s="7" t="s">
        <v>11</v>
      </c>
      <c r="G68" s="2" t="str">
        <f t="shared" si="2"/>
        <v>No</v>
      </c>
      <c r="H68" s="2" t="str">
        <f t="shared" si="3"/>
        <v>Yes</v>
      </c>
    </row>
    <row r="69" spans="1:8" x14ac:dyDescent="0.3">
      <c r="A69" s="4" t="s">
        <v>77</v>
      </c>
      <c r="B69" s="4">
        <v>16.2</v>
      </c>
      <c r="C69" s="4">
        <v>82.1</v>
      </c>
      <c r="D69" s="4" t="s">
        <v>10</v>
      </c>
      <c r="E69" s="4">
        <v>32.9</v>
      </c>
      <c r="F69" s="5" t="s">
        <v>11</v>
      </c>
      <c r="G69" s="4" t="str">
        <f t="shared" si="2"/>
        <v>Yes</v>
      </c>
      <c r="H69" s="4" t="str">
        <f t="shared" si="3"/>
        <v>Yes</v>
      </c>
    </row>
    <row r="70" spans="1:8" x14ac:dyDescent="0.3">
      <c r="A70" s="2" t="s">
        <v>78</v>
      </c>
      <c r="B70" s="2">
        <v>2.4</v>
      </c>
      <c r="C70" s="2">
        <v>61.6</v>
      </c>
      <c r="D70" s="2" t="s">
        <v>7</v>
      </c>
      <c r="E70" s="2">
        <v>34.9</v>
      </c>
      <c r="F70" s="3" t="s">
        <v>8</v>
      </c>
      <c r="G70" s="2" t="str">
        <f t="shared" si="2"/>
        <v>No</v>
      </c>
      <c r="H70" s="2" t="str">
        <f t="shared" si="3"/>
        <v>No</v>
      </c>
    </row>
    <row r="71" spans="1:8" x14ac:dyDescent="0.3">
      <c r="A71" s="4" t="s">
        <v>79</v>
      </c>
      <c r="B71" s="4">
        <v>19.8</v>
      </c>
      <c r="C71" s="4">
        <v>57.6</v>
      </c>
      <c r="D71" s="4" t="s">
        <v>10</v>
      </c>
      <c r="E71" s="4">
        <v>42.8</v>
      </c>
      <c r="F71" s="6" t="s">
        <v>8</v>
      </c>
      <c r="G71" s="4" t="str">
        <f t="shared" si="2"/>
        <v>Yes</v>
      </c>
      <c r="H71" s="4" t="str">
        <f t="shared" si="3"/>
        <v>No</v>
      </c>
    </row>
    <row r="72" spans="1:8" x14ac:dyDescent="0.3">
      <c r="A72" s="2" t="s">
        <v>80</v>
      </c>
      <c r="B72" s="2">
        <v>15.7</v>
      </c>
      <c r="C72" s="2">
        <v>88.6</v>
      </c>
      <c r="D72" s="2" t="s">
        <v>7</v>
      </c>
      <c r="E72" s="2">
        <v>33.9</v>
      </c>
      <c r="F72" s="7" t="s">
        <v>11</v>
      </c>
      <c r="G72" s="2" t="str">
        <f t="shared" si="2"/>
        <v>Yes</v>
      </c>
      <c r="H72" s="2" t="str">
        <f t="shared" si="3"/>
        <v>Yes</v>
      </c>
    </row>
    <row r="73" spans="1:8" x14ac:dyDescent="0.3">
      <c r="A73" s="4" t="s">
        <v>81</v>
      </c>
      <c r="B73" s="4">
        <v>4.8</v>
      </c>
      <c r="C73" s="4">
        <v>88.6</v>
      </c>
      <c r="D73" s="4" t="s">
        <v>10</v>
      </c>
      <c r="E73" s="4">
        <v>91.7</v>
      </c>
      <c r="F73" s="5" t="s">
        <v>11</v>
      </c>
      <c r="G73" s="4" t="str">
        <f t="shared" si="2"/>
        <v>No</v>
      </c>
      <c r="H73" s="4" t="str">
        <f t="shared" si="3"/>
        <v>Yes</v>
      </c>
    </row>
    <row r="74" spans="1:8" x14ac:dyDescent="0.3">
      <c r="A74" s="2" t="s">
        <v>82</v>
      </c>
      <c r="B74" s="2">
        <v>1.1000000000000001</v>
      </c>
      <c r="C74" s="2">
        <v>92</v>
      </c>
      <c r="D74" s="2" t="s">
        <v>7</v>
      </c>
      <c r="E74" s="2">
        <v>26.4</v>
      </c>
      <c r="F74" s="3" t="s">
        <v>8</v>
      </c>
      <c r="G74" s="2" t="str">
        <f t="shared" si="2"/>
        <v>No</v>
      </c>
      <c r="H74" s="2" t="str">
        <f t="shared" si="3"/>
        <v>Yes</v>
      </c>
    </row>
    <row r="75" spans="1:8" x14ac:dyDescent="0.3">
      <c r="A75" s="4" t="s">
        <v>83</v>
      </c>
      <c r="B75" s="4">
        <v>16.5</v>
      </c>
      <c r="C75" s="4">
        <v>94.8</v>
      </c>
      <c r="D75" s="4" t="s">
        <v>10</v>
      </c>
      <c r="E75" s="4">
        <v>62</v>
      </c>
      <c r="F75" s="5" t="s">
        <v>11</v>
      </c>
      <c r="G75" s="4" t="str">
        <f t="shared" si="2"/>
        <v>Yes</v>
      </c>
      <c r="H75" s="4" t="str">
        <f t="shared" si="3"/>
        <v>Yes</v>
      </c>
    </row>
    <row r="76" spans="1:8" x14ac:dyDescent="0.3">
      <c r="A76" s="2" t="s">
        <v>84</v>
      </c>
      <c r="B76" s="2">
        <v>14.4</v>
      </c>
      <c r="C76" s="2">
        <v>70.7</v>
      </c>
      <c r="D76" s="2" t="s">
        <v>7</v>
      </c>
      <c r="E76" s="2">
        <v>52.8</v>
      </c>
      <c r="F76" s="7" t="s">
        <v>11</v>
      </c>
      <c r="G76" s="2" t="str">
        <f t="shared" si="2"/>
        <v>Yes</v>
      </c>
      <c r="H76" s="2" t="str">
        <f t="shared" si="3"/>
        <v>No</v>
      </c>
    </row>
    <row r="77" spans="1:8" x14ac:dyDescent="0.3">
      <c r="A77" s="4" t="s">
        <v>85</v>
      </c>
      <c r="B77" s="4">
        <v>14.9</v>
      </c>
      <c r="C77" s="4">
        <v>70.099999999999994</v>
      </c>
      <c r="D77" s="4" t="s">
        <v>10</v>
      </c>
      <c r="E77" s="4">
        <v>98.6</v>
      </c>
      <c r="F77" s="5" t="s">
        <v>11</v>
      </c>
      <c r="G77" s="4" t="str">
        <f t="shared" si="2"/>
        <v>Yes</v>
      </c>
      <c r="H77" s="4" t="str">
        <f t="shared" si="3"/>
        <v>No</v>
      </c>
    </row>
    <row r="78" spans="1:8" x14ac:dyDescent="0.3">
      <c r="A78" s="2" t="s">
        <v>86</v>
      </c>
      <c r="B78" s="2">
        <v>15.7</v>
      </c>
      <c r="C78" s="2">
        <v>87.9</v>
      </c>
      <c r="D78" s="2" t="s">
        <v>7</v>
      </c>
      <c r="E78" s="2">
        <v>29</v>
      </c>
      <c r="F78" s="3" t="s">
        <v>8</v>
      </c>
      <c r="G78" s="2" t="str">
        <f t="shared" si="2"/>
        <v>Yes</v>
      </c>
      <c r="H78" s="2" t="str">
        <f t="shared" si="3"/>
        <v>Yes</v>
      </c>
    </row>
    <row r="79" spans="1:8" x14ac:dyDescent="0.3">
      <c r="A79" s="4" t="s">
        <v>87</v>
      </c>
      <c r="B79" s="4">
        <v>2.4</v>
      </c>
      <c r="C79" s="4">
        <v>79</v>
      </c>
      <c r="D79" s="4" t="s">
        <v>10</v>
      </c>
      <c r="E79" s="4">
        <v>51.8</v>
      </c>
      <c r="F79" s="6" t="s">
        <v>8</v>
      </c>
      <c r="G79" s="4" t="str">
        <f t="shared" si="2"/>
        <v>No</v>
      </c>
      <c r="H79" s="4" t="str">
        <f t="shared" si="3"/>
        <v>No</v>
      </c>
    </row>
    <row r="80" spans="1:8" x14ac:dyDescent="0.3">
      <c r="A80" s="2" t="s">
        <v>88</v>
      </c>
      <c r="B80" s="2">
        <v>7.8</v>
      </c>
      <c r="C80" s="2">
        <v>82.1</v>
      </c>
      <c r="D80" s="2" t="s">
        <v>10</v>
      </c>
      <c r="E80" s="2">
        <v>97.6</v>
      </c>
      <c r="F80" s="7" t="s">
        <v>11</v>
      </c>
      <c r="G80" s="2" t="str">
        <f t="shared" si="2"/>
        <v>No</v>
      </c>
      <c r="H80" s="2" t="str">
        <f t="shared" si="3"/>
        <v>Yes</v>
      </c>
    </row>
    <row r="81" spans="1:8" x14ac:dyDescent="0.3">
      <c r="A81" s="4" t="s">
        <v>89</v>
      </c>
      <c r="B81" s="4">
        <v>3.2</v>
      </c>
      <c r="C81" s="4">
        <v>87.7</v>
      </c>
      <c r="D81" s="4" t="s">
        <v>7</v>
      </c>
      <c r="E81" s="4">
        <v>89.2</v>
      </c>
      <c r="F81" s="5" t="s">
        <v>11</v>
      </c>
      <c r="G81" s="4" t="str">
        <f t="shared" si="2"/>
        <v>No</v>
      </c>
      <c r="H81" s="4" t="str">
        <f t="shared" si="3"/>
        <v>Yes</v>
      </c>
    </row>
    <row r="82" spans="1:8" x14ac:dyDescent="0.3">
      <c r="A82" s="2" t="s">
        <v>90</v>
      </c>
      <c r="B82" s="2">
        <v>17.399999999999999</v>
      </c>
      <c r="C82" s="2">
        <v>93.4</v>
      </c>
      <c r="D82" s="2" t="s">
        <v>10</v>
      </c>
      <c r="E82" s="2">
        <v>85.4</v>
      </c>
      <c r="F82" s="7" t="s">
        <v>11</v>
      </c>
      <c r="G82" s="2" t="str">
        <f t="shared" si="2"/>
        <v>Yes</v>
      </c>
      <c r="H82" s="2" t="str">
        <f t="shared" si="3"/>
        <v>Yes</v>
      </c>
    </row>
    <row r="83" spans="1:8" x14ac:dyDescent="0.3">
      <c r="A83" s="4" t="s">
        <v>91</v>
      </c>
      <c r="B83" s="4">
        <v>12.8</v>
      </c>
      <c r="C83" s="4">
        <v>60.3</v>
      </c>
      <c r="D83" s="4" t="s">
        <v>10</v>
      </c>
      <c r="E83" s="4">
        <v>40.6</v>
      </c>
      <c r="F83" s="6" t="s">
        <v>8</v>
      </c>
      <c r="G83" s="4" t="str">
        <f t="shared" si="2"/>
        <v>Yes</v>
      </c>
      <c r="H83" s="4" t="str">
        <f t="shared" si="3"/>
        <v>No</v>
      </c>
    </row>
    <row r="84" spans="1:8" x14ac:dyDescent="0.3">
      <c r="A84" s="2" t="s">
        <v>92</v>
      </c>
      <c r="B84" s="2">
        <v>7.3</v>
      </c>
      <c r="C84" s="2">
        <v>62.5</v>
      </c>
      <c r="D84" s="2" t="s">
        <v>7</v>
      </c>
      <c r="E84" s="2">
        <v>33.700000000000003</v>
      </c>
      <c r="F84" s="7" t="s">
        <v>11</v>
      </c>
      <c r="G84" s="2" t="str">
        <f t="shared" si="2"/>
        <v>No</v>
      </c>
      <c r="H84" s="2" t="str">
        <f t="shared" si="3"/>
        <v>No</v>
      </c>
    </row>
    <row r="85" spans="1:8" x14ac:dyDescent="0.3">
      <c r="A85" s="4" t="s">
        <v>93</v>
      </c>
      <c r="B85" s="4">
        <v>2.2000000000000002</v>
      </c>
      <c r="C85" s="4">
        <v>45.6</v>
      </c>
      <c r="D85" s="4" t="s">
        <v>10</v>
      </c>
      <c r="E85" s="4">
        <v>73.5</v>
      </c>
      <c r="F85" s="5" t="s">
        <v>11</v>
      </c>
      <c r="G85" s="4" t="str">
        <f t="shared" si="2"/>
        <v>No</v>
      </c>
      <c r="H85" s="4" t="str">
        <f t="shared" si="3"/>
        <v>No</v>
      </c>
    </row>
    <row r="86" spans="1:8" x14ac:dyDescent="0.3">
      <c r="A86" s="2" t="s">
        <v>94</v>
      </c>
      <c r="B86" s="2">
        <v>6.9</v>
      </c>
      <c r="C86" s="2">
        <v>74.7</v>
      </c>
      <c r="D86" s="2" t="s">
        <v>10</v>
      </c>
      <c r="E86" s="2">
        <v>94.4</v>
      </c>
      <c r="F86" s="3" t="s">
        <v>8</v>
      </c>
      <c r="G86" s="2" t="str">
        <f t="shared" si="2"/>
        <v>No</v>
      </c>
      <c r="H86" s="2" t="str">
        <f t="shared" si="3"/>
        <v>No</v>
      </c>
    </row>
    <row r="87" spans="1:8" x14ac:dyDescent="0.3">
      <c r="A87" s="4" t="s">
        <v>95</v>
      </c>
      <c r="B87" s="4">
        <v>7.2</v>
      </c>
      <c r="C87" s="4">
        <v>42.2</v>
      </c>
      <c r="D87" s="4" t="s">
        <v>10</v>
      </c>
      <c r="E87" s="4">
        <v>64.5</v>
      </c>
      <c r="F87" s="5" t="s">
        <v>11</v>
      </c>
      <c r="G87" s="4" t="str">
        <f t="shared" si="2"/>
        <v>No</v>
      </c>
      <c r="H87" s="4" t="str">
        <f t="shared" si="3"/>
        <v>No</v>
      </c>
    </row>
    <row r="88" spans="1:8" x14ac:dyDescent="0.3">
      <c r="A88" s="2" t="s">
        <v>96</v>
      </c>
      <c r="B88" s="2">
        <v>14.9</v>
      </c>
      <c r="C88" s="2">
        <v>67.900000000000006</v>
      </c>
      <c r="D88" s="2" t="s">
        <v>7</v>
      </c>
      <c r="E88" s="2">
        <v>65.7</v>
      </c>
      <c r="F88" s="7" t="s">
        <v>11</v>
      </c>
      <c r="G88" s="2" t="str">
        <f t="shared" si="2"/>
        <v>Yes</v>
      </c>
      <c r="H88" s="2" t="str">
        <f t="shared" si="3"/>
        <v>No</v>
      </c>
    </row>
    <row r="89" spans="1:8" x14ac:dyDescent="0.3">
      <c r="A89" s="4" t="s">
        <v>97</v>
      </c>
      <c r="B89" s="4">
        <v>13.1</v>
      </c>
      <c r="C89" s="4">
        <v>72.599999999999994</v>
      </c>
      <c r="D89" s="4" t="s">
        <v>7</v>
      </c>
      <c r="E89" s="4">
        <v>42.4</v>
      </c>
      <c r="F89" s="5" t="s">
        <v>11</v>
      </c>
      <c r="G89" s="4" t="str">
        <f t="shared" si="2"/>
        <v>Yes</v>
      </c>
      <c r="H89" s="4" t="str">
        <f t="shared" si="3"/>
        <v>No</v>
      </c>
    </row>
    <row r="90" spans="1:8" x14ac:dyDescent="0.3">
      <c r="A90" s="2" t="s">
        <v>98</v>
      </c>
      <c r="B90" s="2">
        <v>17.899999999999999</v>
      </c>
      <c r="C90" s="2">
        <v>57.2</v>
      </c>
      <c r="D90" s="2" t="s">
        <v>10</v>
      </c>
      <c r="E90" s="2">
        <v>81.599999999999994</v>
      </c>
      <c r="F90" s="7" t="s">
        <v>11</v>
      </c>
      <c r="G90" s="2" t="str">
        <f t="shared" si="2"/>
        <v>Yes</v>
      </c>
      <c r="H90" s="2" t="str">
        <f t="shared" si="3"/>
        <v>No</v>
      </c>
    </row>
    <row r="91" spans="1:8" x14ac:dyDescent="0.3">
      <c r="A91" s="4" t="s">
        <v>99</v>
      </c>
      <c r="B91" s="4">
        <v>10</v>
      </c>
      <c r="C91" s="4">
        <v>75.400000000000006</v>
      </c>
      <c r="D91" s="4" t="s">
        <v>10</v>
      </c>
      <c r="E91" s="4">
        <v>35</v>
      </c>
      <c r="F91" s="6" t="s">
        <v>8</v>
      </c>
      <c r="G91" s="4" t="str">
        <f t="shared" si="2"/>
        <v>No</v>
      </c>
      <c r="H91" s="4" t="str">
        <f t="shared" si="3"/>
        <v>No</v>
      </c>
    </row>
    <row r="92" spans="1:8" x14ac:dyDescent="0.3">
      <c r="A92" s="2" t="s">
        <v>100</v>
      </c>
      <c r="B92" s="2">
        <v>3.3</v>
      </c>
      <c r="C92" s="2">
        <v>41.8</v>
      </c>
      <c r="D92" s="2" t="s">
        <v>7</v>
      </c>
      <c r="E92" s="2">
        <v>45.9</v>
      </c>
      <c r="F92" s="3" t="s">
        <v>8</v>
      </c>
      <c r="G92" s="2" t="str">
        <f t="shared" si="2"/>
        <v>No</v>
      </c>
      <c r="H92" s="2" t="str">
        <f t="shared" si="3"/>
        <v>No</v>
      </c>
    </row>
    <row r="93" spans="1:8" x14ac:dyDescent="0.3">
      <c r="A93" s="4" t="s">
        <v>101</v>
      </c>
      <c r="B93" s="4">
        <v>14.6</v>
      </c>
      <c r="C93" s="4">
        <v>42.2</v>
      </c>
      <c r="D93" s="4" t="s">
        <v>10</v>
      </c>
      <c r="E93" s="4">
        <v>54</v>
      </c>
      <c r="F93" s="6" t="s">
        <v>8</v>
      </c>
      <c r="G93" s="4" t="str">
        <f t="shared" si="2"/>
        <v>Yes</v>
      </c>
      <c r="H93" s="4" t="str">
        <f t="shared" si="3"/>
        <v>No</v>
      </c>
    </row>
    <row r="94" spans="1:8" x14ac:dyDescent="0.3">
      <c r="A94" s="2" t="s">
        <v>102</v>
      </c>
      <c r="B94" s="2">
        <v>15.5</v>
      </c>
      <c r="C94" s="2">
        <v>89.4</v>
      </c>
      <c r="D94" s="2" t="s">
        <v>7</v>
      </c>
      <c r="E94" s="2">
        <v>60.6</v>
      </c>
      <c r="F94" s="3" t="s">
        <v>8</v>
      </c>
      <c r="G94" s="2" t="str">
        <f t="shared" si="2"/>
        <v>Yes</v>
      </c>
      <c r="H94" s="2" t="str">
        <f t="shared" si="3"/>
        <v>Yes</v>
      </c>
    </row>
    <row r="95" spans="1:8" x14ac:dyDescent="0.3">
      <c r="A95" s="4" t="s">
        <v>103</v>
      </c>
      <c r="B95" s="4">
        <v>11.7</v>
      </c>
      <c r="C95" s="4">
        <v>61.6</v>
      </c>
      <c r="D95" s="4" t="s">
        <v>7</v>
      </c>
      <c r="E95" s="4">
        <v>39.4</v>
      </c>
      <c r="F95" s="5" t="s">
        <v>11</v>
      </c>
      <c r="G95" s="4" t="str">
        <f t="shared" si="2"/>
        <v>Yes</v>
      </c>
      <c r="H95" s="4" t="str">
        <f t="shared" si="3"/>
        <v>No</v>
      </c>
    </row>
    <row r="96" spans="1:8" x14ac:dyDescent="0.3">
      <c r="A96" s="2" t="s">
        <v>104</v>
      </c>
      <c r="B96" s="2">
        <v>15.6</v>
      </c>
      <c r="C96" s="2">
        <v>47.6</v>
      </c>
      <c r="D96" s="2" t="s">
        <v>7</v>
      </c>
      <c r="E96" s="2">
        <v>29.2</v>
      </c>
      <c r="F96" s="3" t="s">
        <v>8</v>
      </c>
      <c r="G96" s="2" t="str">
        <f t="shared" si="2"/>
        <v>Yes</v>
      </c>
      <c r="H96" s="2" t="str">
        <f t="shared" si="3"/>
        <v>No</v>
      </c>
    </row>
    <row r="97" spans="1:8" x14ac:dyDescent="0.3">
      <c r="A97" s="4" t="s">
        <v>105</v>
      </c>
      <c r="B97" s="4">
        <v>10.4</v>
      </c>
      <c r="C97" s="4">
        <v>71.3</v>
      </c>
      <c r="D97" s="4" t="s">
        <v>7</v>
      </c>
      <c r="E97" s="4">
        <v>68.8</v>
      </c>
      <c r="F97" s="5" t="s">
        <v>11</v>
      </c>
      <c r="G97" s="4" t="str">
        <f t="shared" si="2"/>
        <v>Yes</v>
      </c>
      <c r="H97" s="4" t="str">
        <f t="shared" si="3"/>
        <v>No</v>
      </c>
    </row>
    <row r="98" spans="1:8" x14ac:dyDescent="0.3">
      <c r="A98" s="2" t="s">
        <v>106</v>
      </c>
      <c r="B98" s="2">
        <v>10.9</v>
      </c>
      <c r="C98" s="2">
        <v>86.2</v>
      </c>
      <c r="D98" s="2" t="s">
        <v>10</v>
      </c>
      <c r="E98" s="2">
        <v>43.1</v>
      </c>
      <c r="F98" s="7" t="s">
        <v>11</v>
      </c>
      <c r="G98" s="2" t="str">
        <f t="shared" si="2"/>
        <v>Yes</v>
      </c>
      <c r="H98" s="2" t="str">
        <f t="shared" si="3"/>
        <v>Yes</v>
      </c>
    </row>
    <row r="99" spans="1:8" x14ac:dyDescent="0.3">
      <c r="A99" s="4" t="s">
        <v>107</v>
      </c>
      <c r="B99" s="4">
        <v>9.1</v>
      </c>
      <c r="C99" s="4">
        <v>52.9</v>
      </c>
      <c r="D99" s="4" t="s">
        <v>7</v>
      </c>
      <c r="E99" s="4">
        <v>66.5</v>
      </c>
      <c r="F99" s="6" t="s">
        <v>8</v>
      </c>
      <c r="G99" s="4" t="str">
        <f t="shared" si="2"/>
        <v>No</v>
      </c>
      <c r="H99" s="4" t="str">
        <f t="shared" si="3"/>
        <v>No</v>
      </c>
    </row>
    <row r="100" spans="1:8" x14ac:dyDescent="0.3">
      <c r="A100" s="2" t="s">
        <v>108</v>
      </c>
      <c r="B100" s="2">
        <v>1.5</v>
      </c>
      <c r="C100" s="2">
        <v>77.400000000000006</v>
      </c>
      <c r="D100" s="2" t="s">
        <v>10</v>
      </c>
      <c r="E100" s="2">
        <v>32.299999999999997</v>
      </c>
      <c r="F100" s="7" t="s">
        <v>11</v>
      </c>
      <c r="G100" s="2" t="str">
        <f t="shared" si="2"/>
        <v>No</v>
      </c>
      <c r="H100" s="2" t="str">
        <f t="shared" si="3"/>
        <v>No</v>
      </c>
    </row>
    <row r="101" spans="1:8" x14ac:dyDescent="0.3">
      <c r="A101" s="4" t="s">
        <v>109</v>
      </c>
      <c r="B101" s="4">
        <v>3</v>
      </c>
      <c r="C101" s="4">
        <v>45.1</v>
      </c>
      <c r="D101" s="4" t="s">
        <v>10</v>
      </c>
      <c r="E101" s="4">
        <v>58.5</v>
      </c>
      <c r="F101" s="5" t="s">
        <v>11</v>
      </c>
      <c r="G101" s="4" t="str">
        <f t="shared" si="2"/>
        <v>No</v>
      </c>
      <c r="H101" s="4" t="str">
        <f t="shared" si="3"/>
        <v>No</v>
      </c>
    </row>
    <row r="102" spans="1:8" x14ac:dyDescent="0.3">
      <c r="A102" s="2" t="s">
        <v>110</v>
      </c>
      <c r="B102" s="2">
        <v>1.6</v>
      </c>
      <c r="C102" s="2">
        <v>43.1</v>
      </c>
      <c r="D102" s="2" t="s">
        <v>10</v>
      </c>
      <c r="E102" s="2">
        <v>62.6</v>
      </c>
      <c r="F102" s="3" t="s">
        <v>8</v>
      </c>
      <c r="G102" s="2" t="str">
        <f t="shared" si="2"/>
        <v>No</v>
      </c>
      <c r="H102" s="2" t="str">
        <f t="shared" si="3"/>
        <v>No</v>
      </c>
    </row>
    <row r="103" spans="1:8" x14ac:dyDescent="0.3">
      <c r="A103" s="4" t="s">
        <v>111</v>
      </c>
      <c r="B103" s="4">
        <v>13.1</v>
      </c>
      <c r="C103" s="4">
        <v>71.900000000000006</v>
      </c>
      <c r="D103" s="4" t="s">
        <v>7</v>
      </c>
      <c r="E103" s="4">
        <v>24.1</v>
      </c>
      <c r="F103" s="5" t="s">
        <v>11</v>
      </c>
      <c r="G103" s="4" t="str">
        <f t="shared" si="2"/>
        <v>Yes</v>
      </c>
      <c r="H103" s="4" t="str">
        <f t="shared" si="3"/>
        <v>No</v>
      </c>
    </row>
    <row r="104" spans="1:8" x14ac:dyDescent="0.3">
      <c r="A104" s="2" t="s">
        <v>112</v>
      </c>
      <c r="B104" s="2">
        <v>7</v>
      </c>
      <c r="C104" s="2">
        <v>72.400000000000006</v>
      </c>
      <c r="D104" s="2" t="s">
        <v>7</v>
      </c>
      <c r="E104" s="2">
        <v>46.9</v>
      </c>
      <c r="F104" s="7" t="s">
        <v>11</v>
      </c>
      <c r="G104" s="2" t="str">
        <f t="shared" si="2"/>
        <v>No</v>
      </c>
      <c r="H104" s="2" t="str">
        <f t="shared" si="3"/>
        <v>No</v>
      </c>
    </row>
    <row r="105" spans="1:8" x14ac:dyDescent="0.3">
      <c r="A105" s="4" t="s">
        <v>113</v>
      </c>
      <c r="B105" s="4">
        <v>10.7</v>
      </c>
      <c r="C105" s="4">
        <v>78.2</v>
      </c>
      <c r="D105" s="4" t="s">
        <v>10</v>
      </c>
      <c r="E105" s="4">
        <v>30.8</v>
      </c>
      <c r="F105" s="6" t="s">
        <v>8</v>
      </c>
      <c r="G105" s="4" t="str">
        <f t="shared" si="2"/>
        <v>Yes</v>
      </c>
      <c r="H105" s="4" t="str">
        <f t="shared" si="3"/>
        <v>No</v>
      </c>
    </row>
    <row r="106" spans="1:8" x14ac:dyDescent="0.3">
      <c r="A106" s="2" t="s">
        <v>114</v>
      </c>
      <c r="B106" s="2">
        <v>18.2</v>
      </c>
      <c r="C106" s="2">
        <v>83.6</v>
      </c>
      <c r="D106" s="2" t="s">
        <v>10</v>
      </c>
      <c r="E106" s="2">
        <v>25.1</v>
      </c>
      <c r="F106" s="3" t="s">
        <v>8</v>
      </c>
      <c r="G106" s="2" t="str">
        <f t="shared" si="2"/>
        <v>Yes</v>
      </c>
      <c r="H106" s="2" t="str">
        <f t="shared" si="3"/>
        <v>Yes</v>
      </c>
    </row>
    <row r="107" spans="1:8" x14ac:dyDescent="0.3">
      <c r="A107" s="4" t="s">
        <v>115</v>
      </c>
      <c r="B107" s="4">
        <v>5.7</v>
      </c>
      <c r="C107" s="4">
        <v>98.6</v>
      </c>
      <c r="D107" s="4" t="s">
        <v>7</v>
      </c>
      <c r="E107" s="4">
        <v>99.2</v>
      </c>
      <c r="F107" s="5" t="s">
        <v>11</v>
      </c>
      <c r="G107" s="4" t="str">
        <f t="shared" si="2"/>
        <v>No</v>
      </c>
      <c r="H107" s="4" t="str">
        <f t="shared" si="3"/>
        <v>Yes</v>
      </c>
    </row>
    <row r="108" spans="1:8" x14ac:dyDescent="0.3">
      <c r="A108" s="2" t="s">
        <v>116</v>
      </c>
      <c r="B108" s="2">
        <v>8.8000000000000007</v>
      </c>
      <c r="C108" s="2">
        <v>71</v>
      </c>
      <c r="D108" s="2" t="s">
        <v>10</v>
      </c>
      <c r="E108" s="2">
        <v>45.8</v>
      </c>
      <c r="F108" s="3" t="s">
        <v>8</v>
      </c>
      <c r="G108" s="2" t="str">
        <f t="shared" si="2"/>
        <v>No</v>
      </c>
      <c r="H108" s="2" t="str">
        <f t="shared" si="3"/>
        <v>No</v>
      </c>
    </row>
    <row r="109" spans="1:8" x14ac:dyDescent="0.3">
      <c r="A109" s="4" t="s">
        <v>117</v>
      </c>
      <c r="B109" s="4">
        <v>15.4</v>
      </c>
      <c r="C109" s="4">
        <v>59.4</v>
      </c>
      <c r="D109" s="4" t="s">
        <v>10</v>
      </c>
      <c r="E109" s="4">
        <v>84.8</v>
      </c>
      <c r="F109" s="5" t="s">
        <v>11</v>
      </c>
      <c r="G109" s="4" t="str">
        <f t="shared" si="2"/>
        <v>Yes</v>
      </c>
      <c r="H109" s="4" t="str">
        <f t="shared" si="3"/>
        <v>No</v>
      </c>
    </row>
    <row r="110" spans="1:8" x14ac:dyDescent="0.3">
      <c r="A110" s="2" t="s">
        <v>118</v>
      </c>
      <c r="B110" s="2">
        <v>5.3</v>
      </c>
      <c r="C110" s="2">
        <v>87.7</v>
      </c>
      <c r="D110" s="2" t="s">
        <v>10</v>
      </c>
      <c r="E110" s="2">
        <v>40.4</v>
      </c>
      <c r="F110" s="7" t="s">
        <v>11</v>
      </c>
      <c r="G110" s="2" t="str">
        <f t="shared" si="2"/>
        <v>No</v>
      </c>
      <c r="H110" s="2" t="str">
        <f t="shared" si="3"/>
        <v>Yes</v>
      </c>
    </row>
    <row r="111" spans="1:8" x14ac:dyDescent="0.3">
      <c r="A111" s="4" t="s">
        <v>119</v>
      </c>
      <c r="B111" s="4">
        <v>2.5</v>
      </c>
      <c r="C111" s="4">
        <v>56.2</v>
      </c>
      <c r="D111" s="4" t="s">
        <v>10</v>
      </c>
      <c r="E111" s="4">
        <v>74.5</v>
      </c>
      <c r="F111" s="6" t="s">
        <v>8</v>
      </c>
      <c r="G111" s="4" t="str">
        <f t="shared" si="2"/>
        <v>No</v>
      </c>
      <c r="H111" s="4" t="str">
        <f t="shared" si="3"/>
        <v>No</v>
      </c>
    </row>
    <row r="112" spans="1:8" x14ac:dyDescent="0.3">
      <c r="A112" s="2" t="s">
        <v>120</v>
      </c>
      <c r="B112" s="2">
        <v>6.5</v>
      </c>
      <c r="C112" s="2">
        <v>66.3</v>
      </c>
      <c r="D112" s="2" t="s">
        <v>10</v>
      </c>
      <c r="E112" s="2">
        <v>80.8</v>
      </c>
      <c r="F112" s="3" t="s">
        <v>8</v>
      </c>
      <c r="G112" s="2" t="str">
        <f t="shared" si="2"/>
        <v>No</v>
      </c>
      <c r="H112" s="2" t="str">
        <f t="shared" si="3"/>
        <v>No</v>
      </c>
    </row>
    <row r="113" spans="1:8" x14ac:dyDescent="0.3">
      <c r="A113" s="4" t="s">
        <v>121</v>
      </c>
      <c r="B113" s="4">
        <v>4.0999999999999996</v>
      </c>
      <c r="C113" s="4">
        <v>44.7</v>
      </c>
      <c r="D113" s="4" t="s">
        <v>7</v>
      </c>
      <c r="E113" s="4">
        <v>67.7</v>
      </c>
      <c r="F113" s="5" t="s">
        <v>11</v>
      </c>
      <c r="G113" s="4" t="str">
        <f t="shared" si="2"/>
        <v>No</v>
      </c>
      <c r="H113" s="4" t="str">
        <f t="shared" si="3"/>
        <v>No</v>
      </c>
    </row>
    <row r="114" spans="1:8" x14ac:dyDescent="0.3">
      <c r="A114" s="2" t="s">
        <v>122</v>
      </c>
      <c r="B114" s="2">
        <v>18.7</v>
      </c>
      <c r="C114" s="2">
        <v>41.5</v>
      </c>
      <c r="D114" s="2" t="s">
        <v>10</v>
      </c>
      <c r="E114" s="2">
        <v>57.7</v>
      </c>
      <c r="F114" s="3" t="s">
        <v>8</v>
      </c>
      <c r="G114" s="2" t="str">
        <f t="shared" si="2"/>
        <v>Yes</v>
      </c>
      <c r="H114" s="2" t="str">
        <f t="shared" si="3"/>
        <v>No</v>
      </c>
    </row>
    <row r="115" spans="1:8" x14ac:dyDescent="0.3">
      <c r="A115" s="4" t="s">
        <v>123</v>
      </c>
      <c r="B115" s="4">
        <v>16.399999999999999</v>
      </c>
      <c r="C115" s="4">
        <v>97.8</v>
      </c>
      <c r="D115" s="4" t="s">
        <v>10</v>
      </c>
      <c r="E115" s="4">
        <v>52.9</v>
      </c>
      <c r="F115" s="5" t="s">
        <v>11</v>
      </c>
      <c r="G115" s="4" t="str">
        <f t="shared" si="2"/>
        <v>Yes</v>
      </c>
      <c r="H115" s="4" t="str">
        <f t="shared" si="3"/>
        <v>Yes</v>
      </c>
    </row>
    <row r="116" spans="1:8" x14ac:dyDescent="0.3">
      <c r="A116" s="2" t="s">
        <v>124</v>
      </c>
      <c r="B116" s="2">
        <v>13</v>
      </c>
      <c r="C116" s="2">
        <v>90.2</v>
      </c>
      <c r="D116" s="2" t="s">
        <v>7</v>
      </c>
      <c r="E116" s="2">
        <v>47.9</v>
      </c>
      <c r="F116" s="7" t="s">
        <v>11</v>
      </c>
      <c r="G116" s="2" t="str">
        <f t="shared" si="2"/>
        <v>Yes</v>
      </c>
      <c r="H116" s="2" t="str">
        <f t="shared" si="3"/>
        <v>Yes</v>
      </c>
    </row>
    <row r="117" spans="1:8" x14ac:dyDescent="0.3">
      <c r="A117" s="4" t="s">
        <v>125</v>
      </c>
      <c r="B117" s="4">
        <v>17.600000000000001</v>
      </c>
      <c r="C117" s="4">
        <v>81.8</v>
      </c>
      <c r="D117" s="4" t="s">
        <v>7</v>
      </c>
      <c r="E117" s="4">
        <v>94.4</v>
      </c>
      <c r="F117" s="5" t="s">
        <v>11</v>
      </c>
      <c r="G117" s="4" t="str">
        <f t="shared" si="2"/>
        <v>Yes</v>
      </c>
      <c r="H117" s="4" t="str">
        <f t="shared" si="3"/>
        <v>Yes</v>
      </c>
    </row>
    <row r="118" spans="1:8" x14ac:dyDescent="0.3">
      <c r="A118" s="2" t="s">
        <v>126</v>
      </c>
      <c r="B118" s="2">
        <v>16.3</v>
      </c>
      <c r="C118" s="2">
        <v>64.5</v>
      </c>
      <c r="D118" s="2" t="s">
        <v>7</v>
      </c>
      <c r="E118" s="2">
        <v>86.4</v>
      </c>
      <c r="F118" s="7" t="s">
        <v>11</v>
      </c>
      <c r="G118" s="2" t="str">
        <f t="shared" si="2"/>
        <v>Yes</v>
      </c>
      <c r="H118" s="2" t="str">
        <f t="shared" si="3"/>
        <v>No</v>
      </c>
    </row>
    <row r="119" spans="1:8" x14ac:dyDescent="0.3">
      <c r="A119" s="4" t="s">
        <v>127</v>
      </c>
      <c r="B119" s="4">
        <v>4.5</v>
      </c>
      <c r="C119" s="4">
        <v>50.4</v>
      </c>
      <c r="D119" s="4" t="s">
        <v>10</v>
      </c>
      <c r="E119" s="4">
        <v>97.2</v>
      </c>
      <c r="F119" s="6" t="s">
        <v>8</v>
      </c>
      <c r="G119" s="4" t="str">
        <f t="shared" si="2"/>
        <v>No</v>
      </c>
      <c r="H119" s="4" t="str">
        <f t="shared" si="3"/>
        <v>No</v>
      </c>
    </row>
    <row r="120" spans="1:8" x14ac:dyDescent="0.3">
      <c r="A120" s="2" t="s">
        <v>128</v>
      </c>
      <c r="B120" s="2">
        <v>18</v>
      </c>
      <c r="C120" s="2">
        <v>49.4</v>
      </c>
      <c r="D120" s="2" t="s">
        <v>10</v>
      </c>
      <c r="E120" s="2">
        <v>29.9</v>
      </c>
      <c r="F120" s="3" t="s">
        <v>8</v>
      </c>
      <c r="G120" s="2" t="str">
        <f t="shared" si="2"/>
        <v>Yes</v>
      </c>
      <c r="H120" s="2" t="str">
        <f t="shared" si="3"/>
        <v>No</v>
      </c>
    </row>
    <row r="121" spans="1:8" x14ac:dyDescent="0.3">
      <c r="A121" s="4" t="s">
        <v>129</v>
      </c>
      <c r="B121" s="4">
        <v>11.2</v>
      </c>
      <c r="C121" s="4">
        <v>55</v>
      </c>
      <c r="D121" s="4" t="s">
        <v>7</v>
      </c>
      <c r="E121" s="4">
        <v>78.5</v>
      </c>
      <c r="F121" s="5" t="s">
        <v>11</v>
      </c>
      <c r="G121" s="4" t="str">
        <f t="shared" si="2"/>
        <v>Yes</v>
      </c>
      <c r="H121" s="4" t="str">
        <f t="shared" si="3"/>
        <v>No</v>
      </c>
    </row>
    <row r="122" spans="1:8" x14ac:dyDescent="0.3">
      <c r="A122" s="2" t="s">
        <v>130</v>
      </c>
      <c r="B122" s="2">
        <v>16.3</v>
      </c>
      <c r="C122" s="2">
        <v>73</v>
      </c>
      <c r="D122" s="2" t="s">
        <v>10</v>
      </c>
      <c r="E122" s="2">
        <v>95.1</v>
      </c>
      <c r="F122" s="3" t="s">
        <v>8</v>
      </c>
      <c r="G122" s="2" t="str">
        <f t="shared" si="2"/>
        <v>Yes</v>
      </c>
      <c r="H122" s="2" t="str">
        <f t="shared" si="3"/>
        <v>No</v>
      </c>
    </row>
    <row r="123" spans="1:8" x14ac:dyDescent="0.3">
      <c r="A123" s="4" t="s">
        <v>131</v>
      </c>
      <c r="B123" s="4">
        <v>18</v>
      </c>
      <c r="C123" s="4">
        <v>82.9</v>
      </c>
      <c r="D123" s="4" t="s">
        <v>7</v>
      </c>
      <c r="E123" s="4">
        <v>34.5</v>
      </c>
      <c r="F123" s="5" t="s">
        <v>11</v>
      </c>
      <c r="G123" s="4" t="str">
        <f t="shared" si="2"/>
        <v>Yes</v>
      </c>
      <c r="H123" s="4" t="str">
        <f t="shared" si="3"/>
        <v>Yes</v>
      </c>
    </row>
    <row r="124" spans="1:8" x14ac:dyDescent="0.3">
      <c r="A124" s="2" t="s">
        <v>132</v>
      </c>
      <c r="B124" s="2">
        <v>7</v>
      </c>
      <c r="C124" s="2">
        <v>79.599999999999994</v>
      </c>
      <c r="D124" s="2" t="s">
        <v>10</v>
      </c>
      <c r="E124" s="2">
        <v>25.3</v>
      </c>
      <c r="F124" s="3" t="s">
        <v>8</v>
      </c>
      <c r="G124" s="2" t="str">
        <f t="shared" si="2"/>
        <v>No</v>
      </c>
      <c r="H124" s="2" t="str">
        <f t="shared" si="3"/>
        <v>No</v>
      </c>
    </row>
    <row r="125" spans="1:8" x14ac:dyDescent="0.3">
      <c r="A125" s="4" t="s">
        <v>133</v>
      </c>
      <c r="B125" s="4">
        <v>3.1</v>
      </c>
      <c r="C125" s="4">
        <v>56.8</v>
      </c>
      <c r="D125" s="4" t="s">
        <v>10</v>
      </c>
      <c r="E125" s="4">
        <v>79.3</v>
      </c>
      <c r="F125" s="6" t="s">
        <v>8</v>
      </c>
      <c r="G125" s="4" t="str">
        <f t="shared" si="2"/>
        <v>No</v>
      </c>
      <c r="H125" s="4" t="str">
        <f t="shared" si="3"/>
        <v>No</v>
      </c>
    </row>
    <row r="126" spans="1:8" x14ac:dyDescent="0.3">
      <c r="A126" s="2" t="s">
        <v>134</v>
      </c>
      <c r="B126" s="2">
        <v>5.3</v>
      </c>
      <c r="C126" s="2">
        <v>97.3</v>
      </c>
      <c r="D126" s="2" t="s">
        <v>10</v>
      </c>
      <c r="E126" s="2">
        <v>66</v>
      </c>
      <c r="F126" s="7" t="s">
        <v>11</v>
      </c>
      <c r="G126" s="2" t="str">
        <f t="shared" si="2"/>
        <v>No</v>
      </c>
      <c r="H126" s="2" t="str">
        <f t="shared" si="3"/>
        <v>Yes</v>
      </c>
    </row>
    <row r="127" spans="1:8" x14ac:dyDescent="0.3">
      <c r="A127" s="4" t="s">
        <v>135</v>
      </c>
      <c r="B127" s="4">
        <v>9.1</v>
      </c>
      <c r="C127" s="4">
        <v>84.3</v>
      </c>
      <c r="D127" s="4" t="s">
        <v>7</v>
      </c>
      <c r="E127" s="4">
        <v>87.3</v>
      </c>
      <c r="F127" s="5" t="s">
        <v>11</v>
      </c>
      <c r="G127" s="4" t="str">
        <f t="shared" si="2"/>
        <v>No</v>
      </c>
      <c r="H127" s="4" t="str">
        <f t="shared" si="3"/>
        <v>Yes</v>
      </c>
    </row>
    <row r="128" spans="1:8" x14ac:dyDescent="0.3">
      <c r="A128" s="2" t="s">
        <v>136</v>
      </c>
      <c r="B128" s="2">
        <v>16.5</v>
      </c>
      <c r="C128" s="2">
        <v>73.3</v>
      </c>
      <c r="D128" s="2" t="s">
        <v>7</v>
      </c>
      <c r="E128" s="2">
        <v>31.2</v>
      </c>
      <c r="F128" s="7" t="s">
        <v>11</v>
      </c>
      <c r="G128" s="2" t="str">
        <f t="shared" si="2"/>
        <v>Yes</v>
      </c>
      <c r="H128" s="2" t="str">
        <f t="shared" si="3"/>
        <v>No</v>
      </c>
    </row>
    <row r="129" spans="1:8" x14ac:dyDescent="0.3">
      <c r="A129" s="4" t="s">
        <v>137</v>
      </c>
      <c r="B129" s="4">
        <v>17.399999999999999</v>
      </c>
      <c r="C129" s="4">
        <v>76.7</v>
      </c>
      <c r="D129" s="4" t="s">
        <v>7</v>
      </c>
      <c r="E129" s="4">
        <v>83.6</v>
      </c>
      <c r="F129" s="5" t="s">
        <v>11</v>
      </c>
      <c r="G129" s="4" t="str">
        <f t="shared" si="2"/>
        <v>Yes</v>
      </c>
      <c r="H129" s="4" t="str">
        <f t="shared" si="3"/>
        <v>No</v>
      </c>
    </row>
    <row r="130" spans="1:8" x14ac:dyDescent="0.3">
      <c r="A130" s="2" t="s">
        <v>138</v>
      </c>
      <c r="B130" s="2">
        <v>1.1000000000000001</v>
      </c>
      <c r="C130" s="2">
        <v>65.2</v>
      </c>
      <c r="D130" s="2" t="s">
        <v>7</v>
      </c>
      <c r="E130" s="2">
        <v>36.1</v>
      </c>
      <c r="F130" s="3" t="s">
        <v>8</v>
      </c>
      <c r="G130" s="2" t="str">
        <f t="shared" si="2"/>
        <v>No</v>
      </c>
      <c r="H130" s="2" t="str">
        <f t="shared" si="3"/>
        <v>No</v>
      </c>
    </row>
    <row r="131" spans="1:8" x14ac:dyDescent="0.3">
      <c r="A131" s="4" t="s">
        <v>139</v>
      </c>
      <c r="B131" s="4">
        <v>10.7</v>
      </c>
      <c r="C131" s="4">
        <v>54.9</v>
      </c>
      <c r="D131" s="4" t="s">
        <v>10</v>
      </c>
      <c r="E131" s="4">
        <v>33.1</v>
      </c>
      <c r="F131" s="6" t="s">
        <v>8</v>
      </c>
      <c r="G131" s="4" t="str">
        <f t="shared" ref="G131:G194" si="4">IF(B131&gt;10,"Yes","No")</f>
        <v>Yes</v>
      </c>
      <c r="H131" s="4" t="str">
        <f t="shared" ref="H131:H194" si="5">IF(C131&gt;80,"Yes","No")</f>
        <v>No</v>
      </c>
    </row>
    <row r="132" spans="1:8" x14ac:dyDescent="0.3">
      <c r="A132" s="2" t="s">
        <v>140</v>
      </c>
      <c r="B132" s="2">
        <v>8.9</v>
      </c>
      <c r="C132" s="2">
        <v>61.4</v>
      </c>
      <c r="D132" s="2" t="s">
        <v>10</v>
      </c>
      <c r="E132" s="2">
        <v>33.1</v>
      </c>
      <c r="F132" s="7" t="s">
        <v>11</v>
      </c>
      <c r="G132" s="2" t="str">
        <f t="shared" si="4"/>
        <v>No</v>
      </c>
      <c r="H132" s="2" t="str">
        <f t="shared" si="5"/>
        <v>No</v>
      </c>
    </row>
    <row r="133" spans="1:8" x14ac:dyDescent="0.3">
      <c r="A133" s="4" t="s">
        <v>141</v>
      </c>
      <c r="B133" s="4">
        <v>5.2</v>
      </c>
      <c r="C133" s="4">
        <v>85.5</v>
      </c>
      <c r="D133" s="4" t="s">
        <v>10</v>
      </c>
      <c r="E133" s="4">
        <v>85.2</v>
      </c>
      <c r="F133" s="6" t="s">
        <v>8</v>
      </c>
      <c r="G133" s="4" t="str">
        <f t="shared" si="4"/>
        <v>No</v>
      </c>
      <c r="H133" s="4" t="str">
        <f t="shared" si="5"/>
        <v>Yes</v>
      </c>
    </row>
    <row r="134" spans="1:8" x14ac:dyDescent="0.3">
      <c r="A134" s="2" t="s">
        <v>142</v>
      </c>
      <c r="B134" s="2">
        <v>3.3</v>
      </c>
      <c r="C134" s="2">
        <v>40.9</v>
      </c>
      <c r="D134" s="2" t="s">
        <v>10</v>
      </c>
      <c r="E134" s="2">
        <v>73.2</v>
      </c>
      <c r="F134" s="3" t="s">
        <v>8</v>
      </c>
      <c r="G134" s="2" t="str">
        <f t="shared" si="4"/>
        <v>No</v>
      </c>
      <c r="H134" s="2" t="str">
        <f t="shared" si="5"/>
        <v>No</v>
      </c>
    </row>
    <row r="135" spans="1:8" x14ac:dyDescent="0.3">
      <c r="A135" s="4" t="s">
        <v>143</v>
      </c>
      <c r="B135" s="4">
        <v>7.4</v>
      </c>
      <c r="C135" s="4">
        <v>47</v>
      </c>
      <c r="D135" s="4" t="s">
        <v>10</v>
      </c>
      <c r="E135" s="4">
        <v>61.8</v>
      </c>
      <c r="F135" s="6" t="s">
        <v>8</v>
      </c>
      <c r="G135" s="4" t="str">
        <f t="shared" si="4"/>
        <v>No</v>
      </c>
      <c r="H135" s="4" t="str">
        <f t="shared" si="5"/>
        <v>No</v>
      </c>
    </row>
    <row r="136" spans="1:8" x14ac:dyDescent="0.3">
      <c r="A136" s="2" t="s">
        <v>144</v>
      </c>
      <c r="B136" s="2">
        <v>18.899999999999999</v>
      </c>
      <c r="C136" s="2">
        <v>42.8</v>
      </c>
      <c r="D136" s="2" t="s">
        <v>10</v>
      </c>
      <c r="E136" s="2">
        <v>48.7</v>
      </c>
      <c r="F136" s="7" t="s">
        <v>11</v>
      </c>
      <c r="G136" s="2" t="str">
        <f t="shared" si="4"/>
        <v>Yes</v>
      </c>
      <c r="H136" s="2" t="str">
        <f t="shared" si="5"/>
        <v>No</v>
      </c>
    </row>
    <row r="137" spans="1:8" x14ac:dyDescent="0.3">
      <c r="A137" s="4" t="s">
        <v>145</v>
      </c>
      <c r="B137" s="4">
        <v>7.1</v>
      </c>
      <c r="C137" s="4">
        <v>42.4</v>
      </c>
      <c r="D137" s="4" t="s">
        <v>10</v>
      </c>
      <c r="E137" s="4">
        <v>90.2</v>
      </c>
      <c r="F137" s="5" t="s">
        <v>11</v>
      </c>
      <c r="G137" s="4" t="str">
        <f t="shared" si="4"/>
        <v>No</v>
      </c>
      <c r="H137" s="4" t="str">
        <f t="shared" si="5"/>
        <v>No</v>
      </c>
    </row>
    <row r="138" spans="1:8" x14ac:dyDescent="0.3">
      <c r="A138" s="2" t="s">
        <v>146</v>
      </c>
      <c r="B138" s="2">
        <v>10.9</v>
      </c>
      <c r="C138" s="2">
        <v>91.3</v>
      </c>
      <c r="D138" s="2" t="s">
        <v>10</v>
      </c>
      <c r="E138" s="2">
        <v>51.4</v>
      </c>
      <c r="F138" s="7" t="s">
        <v>11</v>
      </c>
      <c r="G138" s="2" t="str">
        <f t="shared" si="4"/>
        <v>Yes</v>
      </c>
      <c r="H138" s="2" t="str">
        <f t="shared" si="5"/>
        <v>Yes</v>
      </c>
    </row>
    <row r="139" spans="1:8" x14ac:dyDescent="0.3">
      <c r="A139" s="4" t="s">
        <v>147</v>
      </c>
      <c r="B139" s="4">
        <v>14.4</v>
      </c>
      <c r="C139" s="4">
        <v>82.2</v>
      </c>
      <c r="D139" s="4" t="s">
        <v>7</v>
      </c>
      <c r="E139" s="4">
        <v>85.3</v>
      </c>
      <c r="F139" s="6" t="s">
        <v>8</v>
      </c>
      <c r="G139" s="4" t="str">
        <f t="shared" si="4"/>
        <v>Yes</v>
      </c>
      <c r="H139" s="4" t="str">
        <f t="shared" si="5"/>
        <v>Yes</v>
      </c>
    </row>
    <row r="140" spans="1:8" x14ac:dyDescent="0.3">
      <c r="A140" s="2" t="s">
        <v>148</v>
      </c>
      <c r="B140" s="2">
        <v>7.9</v>
      </c>
      <c r="C140" s="2">
        <v>68.5</v>
      </c>
      <c r="D140" s="2" t="s">
        <v>7</v>
      </c>
      <c r="E140" s="2">
        <v>55.1</v>
      </c>
      <c r="F140" s="7" t="s">
        <v>11</v>
      </c>
      <c r="G140" s="2" t="str">
        <f t="shared" si="4"/>
        <v>No</v>
      </c>
      <c r="H140" s="2" t="str">
        <f t="shared" si="5"/>
        <v>No</v>
      </c>
    </row>
    <row r="141" spans="1:8" x14ac:dyDescent="0.3">
      <c r="A141" s="4" t="s">
        <v>149</v>
      </c>
      <c r="B141" s="4">
        <v>19.5</v>
      </c>
      <c r="C141" s="4">
        <v>45.9</v>
      </c>
      <c r="D141" s="4" t="s">
        <v>7</v>
      </c>
      <c r="E141" s="4">
        <v>50.2</v>
      </c>
      <c r="F141" s="6" t="s">
        <v>8</v>
      </c>
      <c r="G141" s="4" t="str">
        <f t="shared" si="4"/>
        <v>Yes</v>
      </c>
      <c r="H141" s="4" t="str">
        <f t="shared" si="5"/>
        <v>No</v>
      </c>
    </row>
    <row r="142" spans="1:8" x14ac:dyDescent="0.3">
      <c r="A142" s="2" t="s">
        <v>150</v>
      </c>
      <c r="B142" s="2">
        <v>19.3</v>
      </c>
      <c r="C142" s="2">
        <v>69.5</v>
      </c>
      <c r="D142" s="2" t="s">
        <v>10</v>
      </c>
      <c r="E142" s="2">
        <v>57</v>
      </c>
      <c r="F142" s="7" t="s">
        <v>11</v>
      </c>
      <c r="G142" s="2" t="str">
        <f t="shared" si="4"/>
        <v>Yes</v>
      </c>
      <c r="H142" s="2" t="str">
        <f t="shared" si="5"/>
        <v>No</v>
      </c>
    </row>
    <row r="143" spans="1:8" x14ac:dyDescent="0.3">
      <c r="A143" s="4" t="s">
        <v>151</v>
      </c>
      <c r="B143" s="4">
        <v>5.8</v>
      </c>
      <c r="C143" s="4">
        <v>68.400000000000006</v>
      </c>
      <c r="D143" s="4" t="s">
        <v>10</v>
      </c>
      <c r="E143" s="4">
        <v>44.1</v>
      </c>
      <c r="F143" s="6" t="s">
        <v>8</v>
      </c>
      <c r="G143" s="4" t="str">
        <f t="shared" si="4"/>
        <v>No</v>
      </c>
      <c r="H143" s="4" t="str">
        <f t="shared" si="5"/>
        <v>No</v>
      </c>
    </row>
    <row r="144" spans="1:8" x14ac:dyDescent="0.3">
      <c r="A144" s="2" t="s">
        <v>152</v>
      </c>
      <c r="B144" s="2">
        <v>10.4</v>
      </c>
      <c r="C144" s="2">
        <v>50.4</v>
      </c>
      <c r="D144" s="2" t="s">
        <v>7</v>
      </c>
      <c r="E144" s="2">
        <v>79.8</v>
      </c>
      <c r="F144" s="7" t="s">
        <v>11</v>
      </c>
      <c r="G144" s="2" t="str">
        <f t="shared" si="4"/>
        <v>Yes</v>
      </c>
      <c r="H144" s="2" t="str">
        <f t="shared" si="5"/>
        <v>No</v>
      </c>
    </row>
    <row r="145" spans="1:8" x14ac:dyDescent="0.3">
      <c r="A145" s="4" t="s">
        <v>153</v>
      </c>
      <c r="B145" s="4">
        <v>6.7</v>
      </c>
      <c r="C145" s="4">
        <v>66</v>
      </c>
      <c r="D145" s="4" t="s">
        <v>10</v>
      </c>
      <c r="E145" s="4">
        <v>60.2</v>
      </c>
      <c r="F145" s="6" t="s">
        <v>8</v>
      </c>
      <c r="G145" s="4" t="str">
        <f t="shared" si="4"/>
        <v>No</v>
      </c>
      <c r="H145" s="4" t="str">
        <f t="shared" si="5"/>
        <v>No</v>
      </c>
    </row>
    <row r="146" spans="1:8" x14ac:dyDescent="0.3">
      <c r="A146" s="2" t="s">
        <v>154</v>
      </c>
      <c r="B146" s="2">
        <v>6.4</v>
      </c>
      <c r="C146" s="2">
        <v>63.9</v>
      </c>
      <c r="D146" s="2" t="s">
        <v>10</v>
      </c>
      <c r="E146" s="2">
        <v>38.6</v>
      </c>
      <c r="F146" s="3" t="s">
        <v>8</v>
      </c>
      <c r="G146" s="2" t="str">
        <f t="shared" si="4"/>
        <v>No</v>
      </c>
      <c r="H146" s="2" t="str">
        <f t="shared" si="5"/>
        <v>No</v>
      </c>
    </row>
    <row r="147" spans="1:8" x14ac:dyDescent="0.3">
      <c r="A147" s="4" t="s">
        <v>155</v>
      </c>
      <c r="B147" s="4">
        <v>1.7</v>
      </c>
      <c r="C147" s="4">
        <v>77</v>
      </c>
      <c r="D147" s="4" t="s">
        <v>7</v>
      </c>
      <c r="E147" s="4">
        <v>92</v>
      </c>
      <c r="F147" s="5" t="s">
        <v>11</v>
      </c>
      <c r="G147" s="4" t="str">
        <f t="shared" si="4"/>
        <v>No</v>
      </c>
      <c r="H147" s="4" t="str">
        <f t="shared" si="5"/>
        <v>No</v>
      </c>
    </row>
    <row r="148" spans="1:8" x14ac:dyDescent="0.3">
      <c r="A148" s="2" t="s">
        <v>156</v>
      </c>
      <c r="B148" s="2">
        <v>12.6</v>
      </c>
      <c r="C148" s="2">
        <v>78.099999999999994</v>
      </c>
      <c r="D148" s="2" t="s">
        <v>7</v>
      </c>
      <c r="E148" s="2">
        <v>50.7</v>
      </c>
      <c r="F148" s="7" t="s">
        <v>11</v>
      </c>
      <c r="G148" s="2" t="str">
        <f t="shared" si="4"/>
        <v>Yes</v>
      </c>
      <c r="H148" s="2" t="str">
        <f t="shared" si="5"/>
        <v>No</v>
      </c>
    </row>
    <row r="149" spans="1:8" x14ac:dyDescent="0.3">
      <c r="A149" s="4" t="s">
        <v>157</v>
      </c>
      <c r="B149" s="4">
        <v>10.6</v>
      </c>
      <c r="C149" s="4">
        <v>42.7</v>
      </c>
      <c r="D149" s="4" t="s">
        <v>10</v>
      </c>
      <c r="E149" s="4">
        <v>63.5</v>
      </c>
      <c r="F149" s="6" t="s">
        <v>8</v>
      </c>
      <c r="G149" s="4" t="str">
        <f t="shared" si="4"/>
        <v>Yes</v>
      </c>
      <c r="H149" s="4" t="str">
        <f t="shared" si="5"/>
        <v>No</v>
      </c>
    </row>
    <row r="150" spans="1:8" x14ac:dyDescent="0.3">
      <c r="A150" s="2" t="s">
        <v>158</v>
      </c>
      <c r="B150" s="2">
        <v>2</v>
      </c>
      <c r="C150" s="2">
        <v>62.5</v>
      </c>
      <c r="D150" s="2" t="s">
        <v>7</v>
      </c>
      <c r="E150" s="2">
        <v>92.5</v>
      </c>
      <c r="F150" s="3" t="s">
        <v>8</v>
      </c>
      <c r="G150" s="2" t="str">
        <f t="shared" si="4"/>
        <v>No</v>
      </c>
      <c r="H150" s="2" t="str">
        <f t="shared" si="5"/>
        <v>No</v>
      </c>
    </row>
    <row r="151" spans="1:8" x14ac:dyDescent="0.3">
      <c r="A151" s="4" t="s">
        <v>159</v>
      </c>
      <c r="B151" s="4">
        <v>6.3</v>
      </c>
      <c r="C151" s="4">
        <v>77.599999999999994</v>
      </c>
      <c r="D151" s="4" t="s">
        <v>10</v>
      </c>
      <c r="E151" s="4">
        <v>69.900000000000006</v>
      </c>
      <c r="F151" s="6" t="s">
        <v>8</v>
      </c>
      <c r="G151" s="4" t="str">
        <f t="shared" si="4"/>
        <v>No</v>
      </c>
      <c r="H151" s="4" t="str">
        <f t="shared" si="5"/>
        <v>No</v>
      </c>
    </row>
    <row r="152" spans="1:8" x14ac:dyDescent="0.3">
      <c r="A152" s="2" t="s">
        <v>160</v>
      </c>
      <c r="B152" s="2">
        <v>18.3</v>
      </c>
      <c r="C152" s="2">
        <v>70.2</v>
      </c>
      <c r="D152" s="2" t="s">
        <v>7</v>
      </c>
      <c r="E152" s="2">
        <v>29.4</v>
      </c>
      <c r="F152" s="3" t="s">
        <v>8</v>
      </c>
      <c r="G152" s="2" t="str">
        <f t="shared" si="4"/>
        <v>Yes</v>
      </c>
      <c r="H152" s="2" t="str">
        <f t="shared" si="5"/>
        <v>No</v>
      </c>
    </row>
    <row r="153" spans="1:8" x14ac:dyDescent="0.3">
      <c r="A153" s="4" t="s">
        <v>161</v>
      </c>
      <c r="B153" s="4">
        <v>5.6</v>
      </c>
      <c r="C153" s="4">
        <v>91.4</v>
      </c>
      <c r="D153" s="4" t="s">
        <v>10</v>
      </c>
      <c r="E153" s="4">
        <v>95.2</v>
      </c>
      <c r="F153" s="5" t="s">
        <v>11</v>
      </c>
      <c r="G153" s="4" t="str">
        <f t="shared" si="4"/>
        <v>No</v>
      </c>
      <c r="H153" s="4" t="str">
        <f t="shared" si="5"/>
        <v>Yes</v>
      </c>
    </row>
    <row r="154" spans="1:8" x14ac:dyDescent="0.3">
      <c r="A154" s="2" t="s">
        <v>162</v>
      </c>
      <c r="B154" s="2">
        <v>3.8</v>
      </c>
      <c r="C154" s="2">
        <v>79.5</v>
      </c>
      <c r="D154" s="2" t="s">
        <v>10</v>
      </c>
      <c r="E154" s="2">
        <v>70.2</v>
      </c>
      <c r="F154" s="7" t="s">
        <v>11</v>
      </c>
      <c r="G154" s="2" t="str">
        <f t="shared" si="4"/>
        <v>No</v>
      </c>
      <c r="H154" s="2" t="str">
        <f t="shared" si="5"/>
        <v>No</v>
      </c>
    </row>
    <row r="155" spans="1:8" x14ac:dyDescent="0.3">
      <c r="A155" s="4" t="s">
        <v>163</v>
      </c>
      <c r="B155" s="4">
        <v>10.3</v>
      </c>
      <c r="C155" s="4">
        <v>49.8</v>
      </c>
      <c r="D155" s="4" t="s">
        <v>10</v>
      </c>
      <c r="E155" s="4">
        <v>46.8</v>
      </c>
      <c r="F155" s="6" t="s">
        <v>8</v>
      </c>
      <c r="G155" s="4" t="str">
        <f t="shared" si="4"/>
        <v>Yes</v>
      </c>
      <c r="H155" s="4" t="str">
        <f t="shared" si="5"/>
        <v>No</v>
      </c>
    </row>
    <row r="156" spans="1:8" x14ac:dyDescent="0.3">
      <c r="A156" s="2" t="s">
        <v>164</v>
      </c>
      <c r="B156" s="2">
        <v>19.7</v>
      </c>
      <c r="C156" s="2">
        <v>44.2</v>
      </c>
      <c r="D156" s="2" t="s">
        <v>10</v>
      </c>
      <c r="E156" s="2">
        <v>31.1</v>
      </c>
      <c r="F156" s="3" t="s">
        <v>8</v>
      </c>
      <c r="G156" s="2" t="str">
        <f t="shared" si="4"/>
        <v>Yes</v>
      </c>
      <c r="H156" s="2" t="str">
        <f t="shared" si="5"/>
        <v>No</v>
      </c>
    </row>
    <row r="157" spans="1:8" x14ac:dyDescent="0.3">
      <c r="A157" s="4" t="s">
        <v>165</v>
      </c>
      <c r="B157" s="4">
        <v>5.6</v>
      </c>
      <c r="C157" s="4">
        <v>78.5</v>
      </c>
      <c r="D157" s="4" t="s">
        <v>7</v>
      </c>
      <c r="E157" s="4">
        <v>83.5</v>
      </c>
      <c r="F157" s="5" t="s">
        <v>11</v>
      </c>
      <c r="G157" s="4" t="str">
        <f t="shared" si="4"/>
        <v>No</v>
      </c>
      <c r="H157" s="4" t="str">
        <f t="shared" si="5"/>
        <v>No</v>
      </c>
    </row>
    <row r="158" spans="1:8" x14ac:dyDescent="0.3">
      <c r="A158" s="2" t="s">
        <v>166</v>
      </c>
      <c r="B158" s="2">
        <v>13.8</v>
      </c>
      <c r="C158" s="2">
        <v>41.6</v>
      </c>
      <c r="D158" s="2" t="s">
        <v>7</v>
      </c>
      <c r="E158" s="2">
        <v>69.599999999999994</v>
      </c>
      <c r="F158" s="7" t="s">
        <v>11</v>
      </c>
      <c r="G158" s="2" t="str">
        <f t="shared" si="4"/>
        <v>Yes</v>
      </c>
      <c r="H158" s="2" t="str">
        <f t="shared" si="5"/>
        <v>No</v>
      </c>
    </row>
    <row r="159" spans="1:8" x14ac:dyDescent="0.3">
      <c r="A159" s="4" t="s">
        <v>167</v>
      </c>
      <c r="B159" s="4">
        <v>15.5</v>
      </c>
      <c r="C159" s="4">
        <v>75.099999999999994</v>
      </c>
      <c r="D159" s="4" t="s">
        <v>7</v>
      </c>
      <c r="E159" s="4">
        <v>62.7</v>
      </c>
      <c r="F159" s="5" t="s">
        <v>11</v>
      </c>
      <c r="G159" s="4" t="str">
        <f t="shared" si="4"/>
        <v>Yes</v>
      </c>
      <c r="H159" s="4" t="str">
        <f t="shared" si="5"/>
        <v>No</v>
      </c>
    </row>
    <row r="160" spans="1:8" x14ac:dyDescent="0.3">
      <c r="A160" s="2" t="s">
        <v>168</v>
      </c>
      <c r="B160" s="2">
        <v>5.5</v>
      </c>
      <c r="C160" s="2">
        <v>96.4</v>
      </c>
      <c r="D160" s="2" t="s">
        <v>10</v>
      </c>
      <c r="E160" s="2">
        <v>91.5</v>
      </c>
      <c r="F160" s="7" t="s">
        <v>11</v>
      </c>
      <c r="G160" s="2" t="str">
        <f t="shared" si="4"/>
        <v>No</v>
      </c>
      <c r="H160" s="2" t="str">
        <f t="shared" si="5"/>
        <v>Yes</v>
      </c>
    </row>
    <row r="161" spans="1:8" x14ac:dyDescent="0.3">
      <c r="A161" s="4" t="s">
        <v>169</v>
      </c>
      <c r="B161" s="4">
        <v>14.8</v>
      </c>
      <c r="C161" s="4">
        <v>74.5</v>
      </c>
      <c r="D161" s="4" t="s">
        <v>10</v>
      </c>
      <c r="E161" s="4">
        <v>83.1</v>
      </c>
      <c r="F161" s="6" t="s">
        <v>8</v>
      </c>
      <c r="G161" s="4" t="str">
        <f t="shared" si="4"/>
        <v>Yes</v>
      </c>
      <c r="H161" s="4" t="str">
        <f t="shared" si="5"/>
        <v>No</v>
      </c>
    </row>
    <row r="162" spans="1:8" x14ac:dyDescent="0.3">
      <c r="A162" s="2" t="s">
        <v>170</v>
      </c>
      <c r="B162" s="2">
        <v>8</v>
      </c>
      <c r="C162" s="2">
        <v>63.3</v>
      </c>
      <c r="D162" s="2" t="s">
        <v>10</v>
      </c>
      <c r="E162" s="2">
        <v>32.1</v>
      </c>
      <c r="F162" s="7" t="s">
        <v>11</v>
      </c>
      <c r="G162" s="2" t="str">
        <f t="shared" si="4"/>
        <v>No</v>
      </c>
      <c r="H162" s="2" t="str">
        <f t="shared" si="5"/>
        <v>No</v>
      </c>
    </row>
    <row r="163" spans="1:8" x14ac:dyDescent="0.3">
      <c r="A163" s="4" t="s">
        <v>171</v>
      </c>
      <c r="B163" s="4">
        <v>13</v>
      </c>
      <c r="C163" s="4">
        <v>78.599999999999994</v>
      </c>
      <c r="D163" s="4" t="s">
        <v>7</v>
      </c>
      <c r="E163" s="4">
        <v>44.9</v>
      </c>
      <c r="F163" s="6" t="s">
        <v>8</v>
      </c>
      <c r="G163" s="4" t="str">
        <f t="shared" si="4"/>
        <v>Yes</v>
      </c>
      <c r="H163" s="4" t="str">
        <f t="shared" si="5"/>
        <v>No</v>
      </c>
    </row>
    <row r="164" spans="1:8" x14ac:dyDescent="0.3">
      <c r="A164" s="2" t="s">
        <v>172</v>
      </c>
      <c r="B164" s="2">
        <v>13</v>
      </c>
      <c r="C164" s="2">
        <v>67.5</v>
      </c>
      <c r="D164" s="2" t="s">
        <v>7</v>
      </c>
      <c r="E164" s="2">
        <v>39.9</v>
      </c>
      <c r="F164" s="7" t="s">
        <v>11</v>
      </c>
      <c r="G164" s="2" t="str">
        <f t="shared" si="4"/>
        <v>Yes</v>
      </c>
      <c r="H164" s="2" t="str">
        <f t="shared" si="5"/>
        <v>No</v>
      </c>
    </row>
    <row r="165" spans="1:8" x14ac:dyDescent="0.3">
      <c r="A165" s="4" t="s">
        <v>173</v>
      </c>
      <c r="B165" s="4">
        <v>11.2</v>
      </c>
      <c r="C165" s="4">
        <v>72.7</v>
      </c>
      <c r="D165" s="4" t="s">
        <v>7</v>
      </c>
      <c r="E165" s="4">
        <v>79.5</v>
      </c>
      <c r="F165" s="5" t="s">
        <v>11</v>
      </c>
      <c r="G165" s="4" t="str">
        <f t="shared" si="4"/>
        <v>Yes</v>
      </c>
      <c r="H165" s="4" t="str">
        <f t="shared" si="5"/>
        <v>No</v>
      </c>
    </row>
    <row r="166" spans="1:8" x14ac:dyDescent="0.3">
      <c r="A166" s="2" t="s">
        <v>174</v>
      </c>
      <c r="B166" s="2">
        <v>2.7</v>
      </c>
      <c r="C166" s="2">
        <v>96.5</v>
      </c>
      <c r="D166" s="2" t="s">
        <v>7</v>
      </c>
      <c r="E166" s="2">
        <v>22.7</v>
      </c>
      <c r="F166" s="7" t="s">
        <v>11</v>
      </c>
      <c r="G166" s="2" t="str">
        <f t="shared" si="4"/>
        <v>No</v>
      </c>
      <c r="H166" s="2" t="str">
        <f t="shared" si="5"/>
        <v>Yes</v>
      </c>
    </row>
    <row r="167" spans="1:8" x14ac:dyDescent="0.3">
      <c r="A167" s="4" t="s">
        <v>175</v>
      </c>
      <c r="B167" s="4">
        <v>16.899999999999999</v>
      </c>
      <c r="C167" s="4">
        <v>63.2</v>
      </c>
      <c r="D167" s="4" t="s">
        <v>10</v>
      </c>
      <c r="E167" s="4">
        <v>65.599999999999994</v>
      </c>
      <c r="F167" s="5" t="s">
        <v>11</v>
      </c>
      <c r="G167" s="4" t="str">
        <f t="shared" si="4"/>
        <v>Yes</v>
      </c>
      <c r="H167" s="4" t="str">
        <f t="shared" si="5"/>
        <v>No</v>
      </c>
    </row>
    <row r="168" spans="1:8" x14ac:dyDescent="0.3">
      <c r="A168" s="2" t="s">
        <v>176</v>
      </c>
      <c r="B168" s="2">
        <v>7.1</v>
      </c>
      <c r="C168" s="2">
        <v>97.7</v>
      </c>
      <c r="D168" s="2" t="s">
        <v>7</v>
      </c>
      <c r="E168" s="2">
        <v>81</v>
      </c>
      <c r="F168" s="7" t="s">
        <v>11</v>
      </c>
      <c r="G168" s="2" t="str">
        <f t="shared" si="4"/>
        <v>No</v>
      </c>
      <c r="H168" s="2" t="str">
        <f t="shared" si="5"/>
        <v>Yes</v>
      </c>
    </row>
    <row r="169" spans="1:8" x14ac:dyDescent="0.3">
      <c r="A169" s="4" t="s">
        <v>177</v>
      </c>
      <c r="B169" s="4">
        <v>4.5</v>
      </c>
      <c r="C169" s="4">
        <v>94.3</v>
      </c>
      <c r="D169" s="4" t="s">
        <v>7</v>
      </c>
      <c r="E169" s="4">
        <v>90.1</v>
      </c>
      <c r="F169" s="5" t="s">
        <v>11</v>
      </c>
      <c r="G169" s="4" t="str">
        <f t="shared" si="4"/>
        <v>No</v>
      </c>
      <c r="H169" s="4" t="str">
        <f t="shared" si="5"/>
        <v>Yes</v>
      </c>
    </row>
    <row r="170" spans="1:8" x14ac:dyDescent="0.3">
      <c r="A170" s="2" t="s">
        <v>178</v>
      </c>
      <c r="B170" s="2">
        <v>1.8</v>
      </c>
      <c r="C170" s="2">
        <v>51.7</v>
      </c>
      <c r="D170" s="2" t="s">
        <v>10</v>
      </c>
      <c r="E170" s="2">
        <v>47.4</v>
      </c>
      <c r="F170" s="3" t="s">
        <v>8</v>
      </c>
      <c r="G170" s="2" t="str">
        <f t="shared" si="4"/>
        <v>No</v>
      </c>
      <c r="H170" s="2" t="str">
        <f t="shared" si="5"/>
        <v>No</v>
      </c>
    </row>
    <row r="171" spans="1:8" x14ac:dyDescent="0.3">
      <c r="A171" s="4" t="s">
        <v>179</v>
      </c>
      <c r="B171" s="4">
        <v>12.2</v>
      </c>
      <c r="C171" s="4">
        <v>44.2</v>
      </c>
      <c r="D171" s="4" t="s">
        <v>7</v>
      </c>
      <c r="E171" s="4">
        <v>85.7</v>
      </c>
      <c r="F171" s="5" t="s">
        <v>11</v>
      </c>
      <c r="G171" s="4" t="str">
        <f t="shared" si="4"/>
        <v>Yes</v>
      </c>
      <c r="H171" s="4" t="str">
        <f t="shared" si="5"/>
        <v>No</v>
      </c>
    </row>
    <row r="172" spans="1:8" x14ac:dyDescent="0.3">
      <c r="A172" s="2" t="s">
        <v>180</v>
      </c>
      <c r="B172" s="2">
        <v>13.9</v>
      </c>
      <c r="C172" s="2">
        <v>46</v>
      </c>
      <c r="D172" s="2" t="s">
        <v>7</v>
      </c>
      <c r="E172" s="2">
        <v>28.9</v>
      </c>
      <c r="F172" s="3" t="s">
        <v>8</v>
      </c>
      <c r="G172" s="2" t="str">
        <f t="shared" si="4"/>
        <v>Yes</v>
      </c>
      <c r="H172" s="2" t="str">
        <f t="shared" si="5"/>
        <v>No</v>
      </c>
    </row>
    <row r="173" spans="1:8" x14ac:dyDescent="0.3">
      <c r="A173" s="4" t="s">
        <v>181</v>
      </c>
      <c r="B173" s="4">
        <v>1.3</v>
      </c>
      <c r="C173" s="4">
        <v>41.1</v>
      </c>
      <c r="D173" s="4" t="s">
        <v>10</v>
      </c>
      <c r="E173" s="4">
        <v>87.7</v>
      </c>
      <c r="F173" s="6" t="s">
        <v>8</v>
      </c>
      <c r="G173" s="4" t="str">
        <f t="shared" si="4"/>
        <v>No</v>
      </c>
      <c r="H173" s="4" t="str">
        <f t="shared" si="5"/>
        <v>No</v>
      </c>
    </row>
    <row r="174" spans="1:8" x14ac:dyDescent="0.3">
      <c r="A174" s="2" t="s">
        <v>182</v>
      </c>
      <c r="B174" s="2">
        <v>10.7</v>
      </c>
      <c r="C174" s="2">
        <v>45.7</v>
      </c>
      <c r="D174" s="2" t="s">
        <v>7</v>
      </c>
      <c r="E174" s="2">
        <v>30.2</v>
      </c>
      <c r="F174" s="3" t="s">
        <v>8</v>
      </c>
      <c r="G174" s="2" t="str">
        <f t="shared" si="4"/>
        <v>Yes</v>
      </c>
      <c r="H174" s="2" t="str">
        <f t="shared" si="5"/>
        <v>No</v>
      </c>
    </row>
    <row r="175" spans="1:8" x14ac:dyDescent="0.3">
      <c r="A175" s="4" t="s">
        <v>183</v>
      </c>
      <c r="B175" s="4">
        <v>5.3</v>
      </c>
      <c r="C175" s="4">
        <v>81</v>
      </c>
      <c r="D175" s="4" t="s">
        <v>10</v>
      </c>
      <c r="E175" s="4">
        <v>51.8</v>
      </c>
      <c r="F175" s="5" t="s">
        <v>11</v>
      </c>
      <c r="G175" s="4" t="str">
        <f t="shared" si="4"/>
        <v>No</v>
      </c>
      <c r="H175" s="4" t="str">
        <f t="shared" si="5"/>
        <v>Yes</v>
      </c>
    </row>
    <row r="176" spans="1:8" x14ac:dyDescent="0.3">
      <c r="A176" s="2" t="s">
        <v>184</v>
      </c>
      <c r="B176" s="2">
        <v>13.3</v>
      </c>
      <c r="C176" s="2">
        <v>44.3</v>
      </c>
      <c r="D176" s="2" t="s">
        <v>10</v>
      </c>
      <c r="E176" s="2">
        <v>83.8</v>
      </c>
      <c r="F176" s="7" t="s">
        <v>11</v>
      </c>
      <c r="G176" s="2" t="str">
        <f t="shared" si="4"/>
        <v>Yes</v>
      </c>
      <c r="H176" s="2" t="str">
        <f t="shared" si="5"/>
        <v>No</v>
      </c>
    </row>
    <row r="177" spans="1:8" x14ac:dyDescent="0.3">
      <c r="A177" s="4" t="s">
        <v>185</v>
      </c>
      <c r="B177" s="4">
        <v>4.3</v>
      </c>
      <c r="C177" s="4">
        <v>59.1</v>
      </c>
      <c r="D177" s="4" t="s">
        <v>10</v>
      </c>
      <c r="E177" s="4">
        <v>32</v>
      </c>
      <c r="F177" s="6" t="s">
        <v>8</v>
      </c>
      <c r="G177" s="4" t="str">
        <f t="shared" si="4"/>
        <v>No</v>
      </c>
      <c r="H177" s="4" t="str">
        <f t="shared" si="5"/>
        <v>No</v>
      </c>
    </row>
    <row r="178" spans="1:8" x14ac:dyDescent="0.3">
      <c r="A178" s="2" t="s">
        <v>186</v>
      </c>
      <c r="B178" s="2">
        <v>14.1</v>
      </c>
      <c r="C178" s="2">
        <v>90.7</v>
      </c>
      <c r="D178" s="2" t="s">
        <v>7</v>
      </c>
      <c r="E178" s="2">
        <v>38.299999999999997</v>
      </c>
      <c r="F178" s="7" t="s">
        <v>11</v>
      </c>
      <c r="G178" s="2" t="str">
        <f t="shared" si="4"/>
        <v>Yes</v>
      </c>
      <c r="H178" s="2" t="str">
        <f t="shared" si="5"/>
        <v>Yes</v>
      </c>
    </row>
    <row r="179" spans="1:8" x14ac:dyDescent="0.3">
      <c r="A179" s="4" t="s">
        <v>187</v>
      </c>
      <c r="B179" s="4">
        <v>8.3000000000000007</v>
      </c>
      <c r="C179" s="4">
        <v>41.4</v>
      </c>
      <c r="D179" s="4" t="s">
        <v>10</v>
      </c>
      <c r="E179" s="4">
        <v>77.8</v>
      </c>
      <c r="F179" s="5" t="s">
        <v>11</v>
      </c>
      <c r="G179" s="4" t="str">
        <f t="shared" si="4"/>
        <v>No</v>
      </c>
      <c r="H179" s="4" t="str">
        <f t="shared" si="5"/>
        <v>No</v>
      </c>
    </row>
    <row r="180" spans="1:8" x14ac:dyDescent="0.3">
      <c r="A180" s="2" t="s">
        <v>188</v>
      </c>
      <c r="B180" s="2">
        <v>18.8</v>
      </c>
      <c r="C180" s="2">
        <v>88.9</v>
      </c>
      <c r="D180" s="2" t="s">
        <v>7</v>
      </c>
      <c r="E180" s="2">
        <v>77.599999999999994</v>
      </c>
      <c r="F180" s="7" t="s">
        <v>11</v>
      </c>
      <c r="G180" s="2" t="str">
        <f t="shared" si="4"/>
        <v>Yes</v>
      </c>
      <c r="H180" s="2" t="str">
        <f t="shared" si="5"/>
        <v>Yes</v>
      </c>
    </row>
    <row r="181" spans="1:8" x14ac:dyDescent="0.3">
      <c r="A181" s="4" t="s">
        <v>189</v>
      </c>
      <c r="B181" s="4">
        <v>3.6</v>
      </c>
      <c r="C181" s="4">
        <v>56.9</v>
      </c>
      <c r="D181" s="4" t="s">
        <v>7</v>
      </c>
      <c r="E181" s="4">
        <v>71.3</v>
      </c>
      <c r="F181" s="6" t="s">
        <v>8</v>
      </c>
      <c r="G181" s="4" t="str">
        <f t="shared" si="4"/>
        <v>No</v>
      </c>
      <c r="H181" s="4" t="str">
        <f t="shared" si="5"/>
        <v>No</v>
      </c>
    </row>
    <row r="182" spans="1:8" x14ac:dyDescent="0.3">
      <c r="A182" s="2" t="s">
        <v>190</v>
      </c>
      <c r="B182" s="2">
        <v>7.5</v>
      </c>
      <c r="C182" s="2">
        <v>47.1</v>
      </c>
      <c r="D182" s="2" t="s">
        <v>7</v>
      </c>
      <c r="E182" s="2">
        <v>75.5</v>
      </c>
      <c r="F182" s="7" t="s">
        <v>11</v>
      </c>
      <c r="G182" s="2" t="str">
        <f t="shared" si="4"/>
        <v>No</v>
      </c>
      <c r="H182" s="2" t="str">
        <f t="shared" si="5"/>
        <v>No</v>
      </c>
    </row>
    <row r="183" spans="1:8" x14ac:dyDescent="0.3">
      <c r="A183" s="4" t="s">
        <v>191</v>
      </c>
      <c r="B183" s="4">
        <v>3.2</v>
      </c>
      <c r="C183" s="4">
        <v>81.8</v>
      </c>
      <c r="D183" s="4" t="s">
        <v>10</v>
      </c>
      <c r="E183" s="4">
        <v>63.4</v>
      </c>
      <c r="F183" s="6" t="s">
        <v>8</v>
      </c>
      <c r="G183" s="4" t="str">
        <f t="shared" si="4"/>
        <v>No</v>
      </c>
      <c r="H183" s="4" t="str">
        <f t="shared" si="5"/>
        <v>Yes</v>
      </c>
    </row>
    <row r="184" spans="1:8" x14ac:dyDescent="0.3">
      <c r="A184" s="2" t="s">
        <v>192</v>
      </c>
      <c r="B184" s="2">
        <v>18.600000000000001</v>
      </c>
      <c r="C184" s="2">
        <v>77.7</v>
      </c>
      <c r="D184" s="2" t="s">
        <v>7</v>
      </c>
      <c r="E184" s="2">
        <v>40.1</v>
      </c>
      <c r="F184" s="7" t="s">
        <v>11</v>
      </c>
      <c r="G184" s="2" t="str">
        <f t="shared" si="4"/>
        <v>Yes</v>
      </c>
      <c r="H184" s="2" t="str">
        <f t="shared" si="5"/>
        <v>No</v>
      </c>
    </row>
    <row r="185" spans="1:8" x14ac:dyDescent="0.3">
      <c r="A185" s="4" t="s">
        <v>193</v>
      </c>
      <c r="B185" s="4">
        <v>17.7</v>
      </c>
      <c r="C185" s="4">
        <v>92.6</v>
      </c>
      <c r="D185" s="4" t="s">
        <v>7</v>
      </c>
      <c r="E185" s="4">
        <v>47.7</v>
      </c>
      <c r="F185" s="5" t="s">
        <v>11</v>
      </c>
      <c r="G185" s="4" t="str">
        <f t="shared" si="4"/>
        <v>Yes</v>
      </c>
      <c r="H185" s="4" t="str">
        <f t="shared" si="5"/>
        <v>Yes</v>
      </c>
    </row>
    <row r="186" spans="1:8" x14ac:dyDescent="0.3">
      <c r="A186" s="2" t="s">
        <v>194</v>
      </c>
      <c r="B186" s="2">
        <v>5.9</v>
      </c>
      <c r="C186" s="2">
        <v>84.1</v>
      </c>
      <c r="D186" s="2" t="s">
        <v>10</v>
      </c>
      <c r="E186" s="2">
        <v>34.5</v>
      </c>
      <c r="F186" s="3" t="s">
        <v>8</v>
      </c>
      <c r="G186" s="2" t="str">
        <f t="shared" si="4"/>
        <v>No</v>
      </c>
      <c r="H186" s="2" t="str">
        <f t="shared" si="5"/>
        <v>Yes</v>
      </c>
    </row>
    <row r="187" spans="1:8" x14ac:dyDescent="0.3">
      <c r="A187" s="4" t="s">
        <v>195</v>
      </c>
      <c r="B187" s="4">
        <v>13.5</v>
      </c>
      <c r="C187" s="4">
        <v>88.2</v>
      </c>
      <c r="D187" s="4" t="s">
        <v>7</v>
      </c>
      <c r="E187" s="4">
        <v>92.7</v>
      </c>
      <c r="F187" s="5" t="s">
        <v>11</v>
      </c>
      <c r="G187" s="4" t="str">
        <f t="shared" si="4"/>
        <v>Yes</v>
      </c>
      <c r="H187" s="4" t="str">
        <f t="shared" si="5"/>
        <v>Yes</v>
      </c>
    </row>
    <row r="188" spans="1:8" x14ac:dyDescent="0.3">
      <c r="A188" s="2" t="s">
        <v>196</v>
      </c>
      <c r="B188" s="2">
        <v>16.5</v>
      </c>
      <c r="C188" s="2">
        <v>56.9</v>
      </c>
      <c r="D188" s="2" t="s">
        <v>7</v>
      </c>
      <c r="E188" s="2">
        <v>66.7</v>
      </c>
      <c r="F188" s="3" t="s">
        <v>8</v>
      </c>
      <c r="G188" s="2" t="str">
        <f t="shared" si="4"/>
        <v>Yes</v>
      </c>
      <c r="H188" s="2" t="str">
        <f t="shared" si="5"/>
        <v>No</v>
      </c>
    </row>
    <row r="189" spans="1:8" x14ac:dyDescent="0.3">
      <c r="A189" s="4" t="s">
        <v>197</v>
      </c>
      <c r="B189" s="4">
        <v>11.5</v>
      </c>
      <c r="C189" s="4">
        <v>50.6</v>
      </c>
      <c r="D189" s="4" t="s">
        <v>7</v>
      </c>
      <c r="E189" s="4">
        <v>52.1</v>
      </c>
      <c r="F189" s="5" t="s">
        <v>11</v>
      </c>
      <c r="G189" s="4" t="str">
        <f t="shared" si="4"/>
        <v>Yes</v>
      </c>
      <c r="H189" s="4" t="str">
        <f t="shared" si="5"/>
        <v>No</v>
      </c>
    </row>
    <row r="190" spans="1:8" x14ac:dyDescent="0.3">
      <c r="A190" s="2" t="s">
        <v>198</v>
      </c>
      <c r="B190" s="2">
        <v>11.1</v>
      </c>
      <c r="C190" s="2">
        <v>85</v>
      </c>
      <c r="D190" s="2" t="s">
        <v>7</v>
      </c>
      <c r="E190" s="2">
        <v>57</v>
      </c>
      <c r="F190" s="7" t="s">
        <v>11</v>
      </c>
      <c r="G190" s="2" t="str">
        <f t="shared" si="4"/>
        <v>Yes</v>
      </c>
      <c r="H190" s="2" t="str">
        <f t="shared" si="5"/>
        <v>Yes</v>
      </c>
    </row>
    <row r="191" spans="1:8" x14ac:dyDescent="0.3">
      <c r="A191" s="4" t="s">
        <v>199</v>
      </c>
      <c r="B191" s="4">
        <v>5.6</v>
      </c>
      <c r="C191" s="4">
        <v>88.4</v>
      </c>
      <c r="D191" s="4" t="s">
        <v>7</v>
      </c>
      <c r="E191" s="4">
        <v>95.8</v>
      </c>
      <c r="F191" s="5" t="s">
        <v>11</v>
      </c>
      <c r="G191" s="4" t="str">
        <f t="shared" si="4"/>
        <v>No</v>
      </c>
      <c r="H191" s="4" t="str">
        <f t="shared" si="5"/>
        <v>Yes</v>
      </c>
    </row>
    <row r="192" spans="1:8" x14ac:dyDescent="0.3">
      <c r="A192" s="2" t="s">
        <v>200</v>
      </c>
      <c r="B192" s="2">
        <v>2.8</v>
      </c>
      <c r="C192" s="2">
        <v>99.4</v>
      </c>
      <c r="D192" s="2" t="s">
        <v>7</v>
      </c>
      <c r="E192" s="2">
        <v>32.299999999999997</v>
      </c>
      <c r="F192" s="3" t="s">
        <v>8</v>
      </c>
      <c r="G192" s="2" t="str">
        <f t="shared" si="4"/>
        <v>No</v>
      </c>
      <c r="H192" s="2" t="str">
        <f t="shared" si="5"/>
        <v>Yes</v>
      </c>
    </row>
    <row r="193" spans="1:8" x14ac:dyDescent="0.3">
      <c r="A193" s="4" t="s">
        <v>201</v>
      </c>
      <c r="B193" s="4">
        <v>18</v>
      </c>
      <c r="C193" s="4">
        <v>64.8</v>
      </c>
      <c r="D193" s="4" t="s">
        <v>10</v>
      </c>
      <c r="E193" s="4">
        <v>66.900000000000006</v>
      </c>
      <c r="F193" s="6" t="s">
        <v>8</v>
      </c>
      <c r="G193" s="4" t="str">
        <f t="shared" si="4"/>
        <v>Yes</v>
      </c>
      <c r="H193" s="4" t="str">
        <f t="shared" si="5"/>
        <v>No</v>
      </c>
    </row>
    <row r="194" spans="1:8" x14ac:dyDescent="0.3">
      <c r="A194" s="2" t="s">
        <v>202</v>
      </c>
      <c r="B194" s="2">
        <v>18.100000000000001</v>
      </c>
      <c r="C194" s="2">
        <v>62.3</v>
      </c>
      <c r="D194" s="2" t="s">
        <v>7</v>
      </c>
      <c r="E194" s="2">
        <v>60.5</v>
      </c>
      <c r="F194" s="7" t="s">
        <v>11</v>
      </c>
      <c r="G194" s="2" t="str">
        <f t="shared" si="4"/>
        <v>Yes</v>
      </c>
      <c r="H194" s="2" t="str">
        <f t="shared" si="5"/>
        <v>No</v>
      </c>
    </row>
    <row r="195" spans="1:8" x14ac:dyDescent="0.3">
      <c r="A195" s="4" t="s">
        <v>203</v>
      </c>
      <c r="B195" s="4">
        <v>13</v>
      </c>
      <c r="C195" s="4">
        <v>86.6</v>
      </c>
      <c r="D195" s="4" t="s">
        <v>7</v>
      </c>
      <c r="E195" s="4">
        <v>68.900000000000006</v>
      </c>
      <c r="F195" s="5" t="s">
        <v>11</v>
      </c>
      <c r="G195" s="4" t="str">
        <f t="shared" ref="G195:G201" si="6">IF(B195&gt;10,"Yes","No")</f>
        <v>Yes</v>
      </c>
      <c r="H195" s="4" t="str">
        <f t="shared" ref="H195:H201" si="7">IF(C195&gt;80,"Yes","No")</f>
        <v>Yes</v>
      </c>
    </row>
    <row r="196" spans="1:8" x14ac:dyDescent="0.3">
      <c r="A196" s="2" t="s">
        <v>204</v>
      </c>
      <c r="B196" s="2">
        <v>7.4</v>
      </c>
      <c r="C196" s="2">
        <v>60.4</v>
      </c>
      <c r="D196" s="2" t="s">
        <v>10</v>
      </c>
      <c r="E196" s="2">
        <v>21.4</v>
      </c>
      <c r="F196" s="3" t="s">
        <v>8</v>
      </c>
      <c r="G196" s="2" t="str">
        <f t="shared" si="6"/>
        <v>No</v>
      </c>
      <c r="H196" s="2" t="str">
        <f t="shared" si="7"/>
        <v>No</v>
      </c>
    </row>
    <row r="197" spans="1:8" x14ac:dyDescent="0.3">
      <c r="A197" s="4" t="s">
        <v>205</v>
      </c>
      <c r="B197" s="4">
        <v>7.6</v>
      </c>
      <c r="C197" s="4">
        <v>95.8</v>
      </c>
      <c r="D197" s="4" t="s">
        <v>7</v>
      </c>
      <c r="E197" s="4">
        <v>89.8</v>
      </c>
      <c r="F197" s="5" t="s">
        <v>11</v>
      </c>
      <c r="G197" s="4" t="str">
        <f t="shared" si="6"/>
        <v>No</v>
      </c>
      <c r="H197" s="4" t="str">
        <f t="shared" si="7"/>
        <v>Yes</v>
      </c>
    </row>
    <row r="198" spans="1:8" x14ac:dyDescent="0.3">
      <c r="A198" s="2" t="s">
        <v>206</v>
      </c>
      <c r="B198" s="2">
        <v>14.8</v>
      </c>
      <c r="C198" s="2">
        <v>91.5</v>
      </c>
      <c r="D198" s="2" t="s">
        <v>10</v>
      </c>
      <c r="E198" s="2">
        <v>94.6</v>
      </c>
      <c r="F198" s="3" t="s">
        <v>8</v>
      </c>
      <c r="G198" s="2" t="str">
        <f t="shared" si="6"/>
        <v>Yes</v>
      </c>
      <c r="H198" s="2" t="str">
        <f t="shared" si="7"/>
        <v>Yes</v>
      </c>
    </row>
    <row r="199" spans="1:8" x14ac:dyDescent="0.3">
      <c r="A199" s="4" t="s">
        <v>207</v>
      </c>
      <c r="B199" s="4">
        <v>18</v>
      </c>
      <c r="C199" s="4">
        <v>65.7</v>
      </c>
      <c r="D199" s="4" t="s">
        <v>7</v>
      </c>
      <c r="E199" s="4">
        <v>65.2</v>
      </c>
      <c r="F199" s="5" t="s">
        <v>11</v>
      </c>
      <c r="G199" s="4" t="str">
        <f t="shared" si="6"/>
        <v>Yes</v>
      </c>
      <c r="H199" s="4" t="str">
        <f t="shared" si="7"/>
        <v>No</v>
      </c>
    </row>
    <row r="200" spans="1:8" x14ac:dyDescent="0.3">
      <c r="A200" s="2" t="s">
        <v>208</v>
      </c>
      <c r="B200" s="2">
        <v>17.899999999999999</v>
      </c>
      <c r="C200" s="2">
        <v>85.1</v>
      </c>
      <c r="D200" s="2" t="s">
        <v>7</v>
      </c>
      <c r="E200" s="2">
        <v>75.7</v>
      </c>
      <c r="F200" s="3" t="s">
        <v>8</v>
      </c>
      <c r="G200" s="2" t="str">
        <f t="shared" si="6"/>
        <v>Yes</v>
      </c>
      <c r="H200" s="2" t="str">
        <f t="shared" si="7"/>
        <v>Yes</v>
      </c>
    </row>
    <row r="201" spans="1:8" x14ac:dyDescent="0.3">
      <c r="A201" s="4" t="s">
        <v>209</v>
      </c>
      <c r="B201" s="4">
        <v>15.8</v>
      </c>
      <c r="C201" s="4">
        <v>85.3</v>
      </c>
      <c r="D201" s="4" t="s">
        <v>7</v>
      </c>
      <c r="E201" s="4">
        <v>93.8</v>
      </c>
      <c r="F201" s="5" t="s">
        <v>11</v>
      </c>
      <c r="G201" s="4" t="str">
        <f t="shared" si="6"/>
        <v>Yes</v>
      </c>
      <c r="H201" s="4" t="str">
        <f t="shared" si="7"/>
        <v>Yes</v>
      </c>
    </row>
  </sheetData>
  <autoFilter ref="A1:F201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C3B1-8CEC-4244-B32E-680EE5ED47B1}">
  <dimension ref="A2:H18"/>
  <sheetViews>
    <sheetView tabSelected="1" topLeftCell="A3" workbookViewId="0">
      <selection activeCell="H21" sqref="H21"/>
    </sheetView>
  </sheetViews>
  <sheetFormatPr defaultRowHeight="14.4" x14ac:dyDescent="0.3"/>
  <sheetData>
    <row r="2" spans="1:8" x14ac:dyDescent="0.3">
      <c r="A2" s="12"/>
      <c r="B2" s="12"/>
      <c r="C2" s="12"/>
      <c r="D2" s="12"/>
      <c r="E2" s="12"/>
      <c r="F2" s="12"/>
      <c r="G2" s="12"/>
      <c r="H2" s="12"/>
    </row>
    <row r="3" spans="1:8" x14ac:dyDescent="0.3">
      <c r="A3" s="12"/>
      <c r="B3" s="12"/>
      <c r="C3" s="12"/>
      <c r="D3" s="12"/>
      <c r="E3" s="12"/>
      <c r="F3" s="12"/>
      <c r="G3" s="12"/>
      <c r="H3" s="12"/>
    </row>
    <row r="4" spans="1:8" x14ac:dyDescent="0.3">
      <c r="A4" s="12"/>
      <c r="B4" s="12"/>
      <c r="C4" s="12"/>
      <c r="D4" s="12"/>
      <c r="E4" s="12"/>
      <c r="F4" s="12"/>
      <c r="G4" s="12"/>
      <c r="H4" s="12"/>
    </row>
    <row r="5" spans="1:8" x14ac:dyDescent="0.3">
      <c r="A5" s="12"/>
      <c r="B5" s="12"/>
      <c r="C5" s="12"/>
      <c r="D5" s="12"/>
      <c r="E5" s="12"/>
      <c r="F5" s="12"/>
      <c r="G5" s="12"/>
      <c r="H5" s="12"/>
    </row>
    <row r="6" spans="1:8" ht="14.4" customHeight="1" x14ac:dyDescent="0.3">
      <c r="A6" s="12"/>
      <c r="B6" s="13" t="s">
        <v>220</v>
      </c>
      <c r="C6" s="13"/>
      <c r="D6" s="14"/>
      <c r="E6" s="12"/>
      <c r="F6" s="15" t="s">
        <v>221</v>
      </c>
      <c r="G6" s="15"/>
      <c r="H6" s="12"/>
    </row>
    <row r="7" spans="1:8" ht="14.4" customHeight="1" x14ac:dyDescent="0.3">
      <c r="A7" s="12"/>
      <c r="B7" s="13"/>
      <c r="C7" s="13"/>
      <c r="D7" s="16" t="s">
        <v>222</v>
      </c>
      <c r="E7" s="16"/>
      <c r="F7" s="15"/>
      <c r="G7" s="15"/>
      <c r="H7" s="12"/>
    </row>
    <row r="8" spans="1:8" ht="14.4" customHeight="1" x14ac:dyDescent="0.3">
      <c r="A8" s="12"/>
      <c r="B8" s="13"/>
      <c r="C8" s="13"/>
      <c r="D8" s="16"/>
      <c r="E8" s="16"/>
      <c r="F8" s="15"/>
      <c r="G8" s="15"/>
      <c r="H8" s="12"/>
    </row>
    <row r="9" spans="1:8" x14ac:dyDescent="0.3">
      <c r="A9" s="12"/>
      <c r="B9" s="12"/>
      <c r="C9" s="12"/>
      <c r="D9" s="16"/>
      <c r="E9" s="16"/>
      <c r="F9" s="15"/>
      <c r="G9" s="15"/>
      <c r="H9" s="12"/>
    </row>
    <row r="10" spans="1:8" x14ac:dyDescent="0.3">
      <c r="A10" s="12"/>
      <c r="B10" s="17">
        <f>COUNTIFS('Student Data'!B177:B201,"&gt;10",'Student Data'!C177:C201,"&lt;80")</f>
        <v>6</v>
      </c>
      <c r="C10" s="17"/>
      <c r="D10" s="12"/>
      <c r="E10" s="12"/>
      <c r="F10" s="12"/>
      <c r="G10" s="12"/>
      <c r="H10" s="12"/>
    </row>
    <row r="11" spans="1:8" ht="14.4" customHeight="1" x14ac:dyDescent="0.3">
      <c r="A11" s="12"/>
      <c r="B11" s="17"/>
      <c r="C11" s="17"/>
      <c r="D11" s="18">
        <f>COUNTIFS('Student Data'!B177:B201,"&lt;10",'Student Data'!C177:C201,"&lt;80")</f>
        <v>5</v>
      </c>
      <c r="E11" s="18"/>
      <c r="F11" s="17">
        <f>COUNTIFS('Student Data'!B177:B201,"&lt;10",'Student Data'!C177:C201,"&gt;80")</f>
        <v>5</v>
      </c>
      <c r="G11" s="17"/>
      <c r="H11" s="12"/>
    </row>
    <row r="12" spans="1:8" ht="14.4" customHeight="1" x14ac:dyDescent="0.3">
      <c r="A12" s="12"/>
      <c r="B12" s="17"/>
      <c r="C12" s="17"/>
      <c r="D12" s="18"/>
      <c r="E12" s="18"/>
      <c r="F12" s="17"/>
      <c r="G12" s="17"/>
      <c r="H12" s="12"/>
    </row>
    <row r="13" spans="1:8" ht="14.4" customHeight="1" x14ac:dyDescent="0.3">
      <c r="A13" s="12"/>
      <c r="B13" s="17"/>
      <c r="C13" s="17"/>
      <c r="D13" s="18"/>
      <c r="E13" s="18"/>
      <c r="F13" s="17"/>
      <c r="G13" s="17"/>
      <c r="H13" s="12"/>
    </row>
    <row r="14" spans="1:8" ht="14.4" customHeight="1" x14ac:dyDescent="0.3">
      <c r="A14" s="12"/>
      <c r="B14" s="17"/>
      <c r="C14" s="17"/>
      <c r="D14" s="18"/>
      <c r="E14" s="18"/>
      <c r="F14" s="17"/>
      <c r="G14" s="17"/>
      <c r="H14" s="12"/>
    </row>
    <row r="15" spans="1:8" x14ac:dyDescent="0.3">
      <c r="A15" s="12"/>
      <c r="B15" s="12"/>
      <c r="C15" s="12"/>
      <c r="D15" s="12"/>
      <c r="E15" s="12"/>
      <c r="F15" s="17"/>
      <c r="G15" s="17"/>
      <c r="H15" s="12"/>
    </row>
    <row r="16" spans="1:8" x14ac:dyDescent="0.3">
      <c r="A16" s="12"/>
      <c r="B16" s="12"/>
      <c r="C16" s="12"/>
      <c r="D16" s="12"/>
      <c r="E16" s="12"/>
      <c r="F16" s="12"/>
      <c r="G16" s="12"/>
      <c r="H16" s="12"/>
    </row>
    <row r="17" spans="1:8" x14ac:dyDescent="0.3">
      <c r="A17" s="12"/>
      <c r="B17" s="12"/>
      <c r="C17" s="12"/>
      <c r="D17" s="12"/>
      <c r="E17" s="12"/>
      <c r="F17" s="12"/>
      <c r="G17" s="12"/>
      <c r="H17" s="12"/>
    </row>
    <row r="18" spans="1:8" x14ac:dyDescent="0.3">
      <c r="A18" s="12"/>
      <c r="B18" s="12"/>
      <c r="C18" s="12"/>
      <c r="D18" s="12"/>
      <c r="E18" s="12"/>
      <c r="F18" s="12"/>
      <c r="G18" s="12"/>
      <c r="H18" s="12"/>
    </row>
  </sheetData>
  <mergeCells count="6">
    <mergeCell ref="B6:C8"/>
    <mergeCell ref="D7:E9"/>
    <mergeCell ref="F6:G9"/>
    <mergeCell ref="F11:G15"/>
    <mergeCell ref="B10:C14"/>
    <mergeCell ref="D11:E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Contagency Table</vt:lpstr>
      <vt:lpstr>Student Data</vt:lpstr>
      <vt:lpstr>Ven 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yakshrajsinh gohil</cp:lastModifiedBy>
  <dcterms:created xsi:type="dcterms:W3CDTF">2026-03-20T10:02:10Z</dcterms:created>
  <dcterms:modified xsi:type="dcterms:W3CDTF">2026-03-20T12:36:42Z</dcterms:modified>
</cp:coreProperties>
</file>